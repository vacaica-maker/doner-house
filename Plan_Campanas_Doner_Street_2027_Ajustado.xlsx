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9ba98d89d7f14edb/Escritorio/proyecto_Claude/Direccionamiento u/"/>
    </mc:Choice>
  </mc:AlternateContent>
  <xr:revisionPtr revIDLastSave="13" documentId="11_BF7F37676E909CA4E80A1350EE3D144C469853CD" xr6:coauthVersionLast="47" xr6:coauthVersionMax="47" xr10:uidLastSave="{28F3C0FA-18B3-4B78-90B0-14ABD45B4F6E}"/>
  <bookViews>
    <workbookView xWindow="-120" yWindow="-120" windowWidth="20730" windowHeight="11040" tabRatio="500" activeTab="1" xr2:uid="{00000000-000D-0000-FFFF-FFFF00000000}"/>
  </bookViews>
  <sheets>
    <sheet name="Campañas" sheetId="1" r:id="rId1"/>
    <sheet name="Diagrama de Gant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9" i="2" l="1"/>
  <c r="C19" i="2"/>
  <c r="B19" i="2"/>
  <c r="F17" i="2"/>
  <c r="E17" i="2"/>
  <c r="C17" i="2"/>
  <c r="B17" i="2"/>
  <c r="F16" i="2"/>
  <c r="E16" i="2"/>
  <c r="C16" i="2"/>
  <c r="B16" i="2"/>
  <c r="F14" i="2"/>
  <c r="E14" i="2"/>
  <c r="C14" i="2"/>
  <c r="B14" i="2"/>
  <c r="F13" i="2"/>
  <c r="E13" i="2"/>
  <c r="C13" i="2"/>
  <c r="B13" i="2"/>
  <c r="F11" i="2"/>
  <c r="E11" i="2"/>
  <c r="D11" i="2"/>
  <c r="C11" i="2"/>
  <c r="B11" i="2"/>
  <c r="F10" i="2"/>
  <c r="E10" i="2"/>
  <c r="C10" i="2"/>
  <c r="B10" i="2"/>
  <c r="F9" i="2"/>
  <c r="E9" i="2"/>
  <c r="C9" i="2"/>
  <c r="B9" i="2"/>
  <c r="F8" i="2"/>
  <c r="E8" i="2"/>
  <c r="C8" i="2"/>
  <c r="B8" i="2"/>
  <c r="F6" i="2"/>
  <c r="E6" i="2"/>
  <c r="D6" i="2"/>
  <c r="C6" i="2"/>
  <c r="B6" i="2"/>
  <c r="F5" i="2"/>
  <c r="E5" i="2"/>
  <c r="D5" i="2"/>
  <c r="C5" i="2"/>
  <c r="B5" i="2"/>
  <c r="I15" i="1"/>
  <c r="B15" i="1"/>
  <c r="H14" i="1"/>
  <c r="F19" i="2" s="1"/>
  <c r="E14" i="1"/>
  <c r="D19" i="2" s="1"/>
  <c r="E13" i="1"/>
  <c r="D17" i="2" s="1"/>
  <c r="E12" i="1"/>
  <c r="D16" i="2" s="1"/>
  <c r="E11" i="1"/>
  <c r="D14" i="2" s="1"/>
  <c r="E10" i="1"/>
  <c r="D13" i="2" s="1"/>
  <c r="D10" i="1"/>
  <c r="E9" i="1"/>
  <c r="D9" i="1"/>
  <c r="D8" i="1"/>
  <c r="E8" i="1" s="1"/>
  <c r="D10" i="2" s="1"/>
  <c r="D7" i="1"/>
  <c r="E7" i="1" s="1"/>
  <c r="D9" i="2" s="1"/>
  <c r="E6" i="1"/>
  <c r="D8" i="2" s="1"/>
  <c r="D6" i="1"/>
  <c r="E5" i="1"/>
  <c r="E4" i="1"/>
  <c r="AV21" i="2" l="1"/>
  <c r="P21" i="2"/>
  <c r="R21" i="2"/>
  <c r="AH21" i="2"/>
  <c r="AQ21" i="2"/>
  <c r="L21" i="2"/>
  <c r="T21" i="2"/>
  <c r="AB21" i="2"/>
  <c r="AJ21" i="2"/>
  <c r="AR21" i="2"/>
  <c r="AZ21" i="2"/>
  <c r="X21" i="2"/>
  <c r="Z21" i="2"/>
  <c r="K21" i="2"/>
  <c r="AI21" i="2"/>
  <c r="M21" i="2"/>
  <c r="U21" i="2"/>
  <c r="AC21" i="2"/>
  <c r="AK21" i="2"/>
  <c r="AS21" i="2"/>
  <c r="BA21" i="2"/>
  <c r="AN21" i="2"/>
  <c r="AX21" i="2"/>
  <c r="AA21" i="2"/>
  <c r="N21" i="2"/>
  <c r="V21" i="2"/>
  <c r="AD21" i="2"/>
  <c r="AL21" i="2"/>
  <c r="AT21" i="2"/>
  <c r="BB21" i="2"/>
  <c r="H21" i="2"/>
  <c r="J21" i="2"/>
  <c r="AP21" i="2"/>
  <c r="S21" i="2"/>
  <c r="G21" i="2"/>
  <c r="O21" i="2"/>
  <c r="W21" i="2"/>
  <c r="AE21" i="2"/>
  <c r="AM21" i="2"/>
  <c r="AU21" i="2"/>
  <c r="BC21" i="2"/>
  <c r="BD21" i="2"/>
  <c r="AF21" i="2"/>
  <c r="I21" i="2"/>
  <c r="Q21" i="2"/>
  <c r="Y21" i="2"/>
  <c r="AG21" i="2"/>
  <c r="AO21" i="2"/>
  <c r="AW21" i="2"/>
  <c r="BE21" i="2"/>
  <c r="BF21" i="2"/>
  <c r="AY21" i="2"/>
</calcChain>
</file>

<file path=xl/sharedStrings.xml><?xml version="1.0" encoding="utf-8"?>
<sst xmlns="http://schemas.openxmlformats.org/spreadsheetml/2006/main" count="126" uniqueCount="64">
  <si>
    <t>PLAN DE CAMPAÑAS DE MARKETING 2027 — DÖNER STREET (11 CAMPAÑAS)</t>
  </si>
  <si>
    <t>Área</t>
  </si>
  <si>
    <t>Campaña</t>
  </si>
  <si>
    <t>Fecha inicio</t>
  </si>
  <si>
    <t>Duración (días)</t>
  </si>
  <si>
    <t>Fecha fin</t>
  </si>
  <si>
    <t>Inicio 2º periodo</t>
  </si>
  <si>
    <t>Duración 2º periodo (días)</t>
  </si>
  <si>
    <t>Fin 2º periodo</t>
  </si>
  <si>
    <t>Costo total 2027 (COP)</t>
  </si>
  <si>
    <t>ROI 2027</t>
  </si>
  <si>
    <t>Descripción</t>
  </si>
  <si>
    <t>LANZAMIENTO</t>
  </si>
  <si>
    <t>Prensa y Redes (Teaser + PR + Promo apertura)</t>
  </si>
  <si>
    <t>Teaser en IG/TikTok, comunicado a blogs de Bogotá y semana de apertura con gaseosa gratis en combo.</t>
  </si>
  <si>
    <t>Volantes, degustaciones y garantía de satisfacción</t>
  </si>
  <si>
    <t>Volantes y degustaciones en oficinas y universidades; aviso de la garantía de satisfacción.</t>
  </si>
  <si>
    <t>PUBLICIDAD DIGITAL</t>
  </si>
  <si>
    <t>Contenido orgánico IG/TikTok/Facebook</t>
  </si>
  <si>
    <t>Contenido always-on: videos de producto, detrás del mostrador y combos.</t>
  </si>
  <si>
    <t>Google Business Profile (SEO local)</t>
  </si>
  <si>
    <t>Fotos, horarios, menú y solicitud de reseñas todo el año.</t>
  </si>
  <si>
    <t>Meta Ads pagado (geo-segmentado)</t>
  </si>
  <si>
    <t>Anuncios pagados en un radio alrededor de la tienda.</t>
  </si>
  <si>
    <t>QR en empaques/recibos + referidos</t>
  </si>
  <si>
    <t>QR en empaques y recibos: síguenos + 10% en la próxima compra.</t>
  </si>
  <si>
    <t>DELIVERY Y FIDELIZACIÓN</t>
  </si>
  <si>
    <t>Almuerzos corporativos (pedidos por WhatsApp)</t>
  </si>
  <si>
    <t>Pedidos al por mayor para oficinas cercanas por WhatsApp.</t>
  </si>
  <si>
    <t>Refiere y gana (papas gratis)</t>
  </si>
  <si>
    <t>Referido y cliente reciben papas gratis en su siguiente pedido.</t>
  </si>
  <si>
    <t>FECHAS ESPECIALES</t>
  </si>
  <si>
    <t>San Valentín (Comparte un Döner)</t>
  </si>
  <si>
    <t>14 feb: 2 combos con 20% de descuento.</t>
  </si>
  <si>
    <t>Navidad y fin de año (Party Pack)</t>
  </si>
  <si>
    <t>Party Pack para reuniones de oficina y familia.</t>
  </si>
  <si>
    <t>COMUNIDAD Y ALIANZAS</t>
  </si>
  <si>
    <t>Semana de bienvenida universitaria</t>
  </si>
  <si>
    <t>Stand en campus con muestras gratis al inicio de cada semestre.</t>
  </si>
  <si>
    <t>TOTAL</t>
  </si>
  <si>
    <t>Inicio</t>
  </si>
  <si>
    <t>Fin</t>
  </si>
  <si>
    <t>Inicio 2</t>
  </si>
  <si>
    <t>Fin 2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</si>
  <si>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</si>
  <si>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</si>
  <si>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</si>
  <si>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</si>
  <si>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</si>
  <si>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</si>
  <si>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</si>
  <si>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</si>
  <si>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</si>
  <si>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</si>
  <si>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</si>
  <si>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</si>
  <si>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Temporada de cada semana (editable)</t>
  </si>
  <si>
    <t>Baja</t>
  </si>
  <si>
    <t>Alta</t>
  </si>
  <si>
    <t>Muerta</t>
  </si>
  <si>
    <t>Leyenda</t>
  </si>
  <si>
    <t>Temporada alta (34 semanas) — campaña activa</t>
  </si>
  <si>
    <t>Temporada baja (13 semanas) — campaña activa</t>
  </si>
  <si>
    <t>Temporada muerta (5 semanas) — campaña activa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</si>
</sst>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\$#,##0;&quot;($&quot;#,##0\);\-"/>
    <numFmt numFmtId="166" formatCode="0.0%;\-0.0%;\-"/>
    <numFmt numFmtId="167" formatCode="d"/>
    <numFmt numFmtId="168" formatCode="dd/mm"/>
  </numFmts>
  <fonts count="1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</font>
    <font>
      <sz val="11"/>
      <color theme="1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b/>
      <sz val="8"/>
      <name val="Arial"/>
      <family val="2"/>
    </font>
    <font>
      <b/>
      <sz val="6"/>
      <color rgb="FF0000FF"/>
      <name val="Arial"/>
      <family val="2"/>
    </font>
    <font>
      <sz val="9"/>
      <name val="Arial"/>
      <family val="2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4B183"/>
        <bgColor rgb="FFE3A72F"/>
      </patternFill>
    </fill>
    <fill>
      <patternFill patternType="solid">
        <fgColor rgb="FF2E7D4F"/>
        <bgColor rgb="FF008080"/>
      </patternFill>
    </fill>
    <fill>
      <patternFill patternType="solid">
        <fgColor rgb="FFE3A72F"/>
        <bgColor rgb="FFF4B183"/>
      </patternFill>
    </fill>
    <fill>
      <patternFill patternType="solid">
        <fgColor rgb="FF5B6178"/>
        <bgColor rgb="FF808080"/>
      </patternFill>
    </fill>
    <fill>
      <patternFill patternType="solid">
        <fgColor rgb="FF4F6228"/>
        <bgColor rgb="FF333333"/>
      </patternFill>
    </fill>
    <fill>
      <patternFill patternType="solid">
        <fgColor theme="6" tint="-0.499984740745262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4" fillId="2" borderId="0" xfId="0" applyFont="1" applyFill="1"/>
    <xf numFmtId="165" fontId="4" fillId="2" borderId="0" xfId="0" applyNumberFormat="1" applyFont="1" applyFill="1"/>
    <xf numFmtId="0" fontId="6" fillId="0" borderId="0" xfId="0" applyFont="1"/>
    <xf numFmtId="0" fontId="7" fillId="0" borderId="0" xfId="0" applyFont="1"/>
    <xf numFmtId="167" fontId="8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5" fillId="3" borderId="0" xfId="0" applyFont="1" applyFill="1"/>
    <xf numFmtId="0" fontId="3" fillId="3" borderId="0" xfId="0" applyFont="1" applyFill="1"/>
    <xf numFmtId="0" fontId="3" fillId="0" borderId="1" xfId="0" applyFont="1" applyBorder="1"/>
    <xf numFmtId="168" fontId="3" fillId="0" borderId="1" xfId="0" applyNumberFormat="1" applyFont="1" applyBorder="1"/>
    <xf numFmtId="0" fontId="3" fillId="0" borderId="0" xfId="0" applyFont="1" applyBorder="1"/>
    <xf numFmtId="0" fontId="5" fillId="0" borderId="0" xfId="0" applyFont="1"/>
    <xf numFmtId="0" fontId="8" fillId="0" borderId="0" xfId="0" applyFont="1" applyAlignment="1">
      <alignment horizontal="center"/>
    </xf>
    <xf numFmtId="0" fontId="3" fillId="4" borderId="0" xfId="0" applyFont="1" applyFill="1"/>
    <xf numFmtId="0" fontId="10" fillId="0" borderId="0" xfId="0" applyFont="1"/>
    <xf numFmtId="0" fontId="3" fillId="5" borderId="0" xfId="0" applyFont="1" applyFill="1"/>
    <xf numFmtId="0" fontId="3" fillId="6" borderId="0" xfId="0" applyFont="1" applyFill="1"/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1" fillId="0" borderId="1" xfId="0" applyNumberFormat="1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165" fontId="1" fillId="0" borderId="1" xfId="0" applyNumberFormat="1" applyFont="1" applyBorder="1" applyAlignment="1">
      <alignment vertical="center"/>
    </xf>
    <xf numFmtId="166" fontId="1" fillId="0" borderId="1" xfId="0" applyNumberFormat="1" applyFont="1" applyBorder="1" applyAlignment="1">
      <alignment vertical="center"/>
    </xf>
    <xf numFmtId="0" fontId="11" fillId="0" borderId="1" xfId="0" applyFont="1" applyBorder="1" applyAlignment="1">
      <alignment vertical="center" wrapText="1"/>
    </xf>
    <xf numFmtId="164" fontId="1" fillId="0" borderId="0" xfId="0" applyNumberFormat="1" applyFont="1"/>
    <xf numFmtId="0" fontId="2" fillId="7" borderId="0" xfId="0" applyFont="1" applyFill="1"/>
    <xf numFmtId="0" fontId="3" fillId="7" borderId="0" xfId="0" applyFont="1" applyFill="1"/>
    <xf numFmtId="0" fontId="4" fillId="7" borderId="1" xfId="0" applyFont="1" applyFill="1" applyBorder="1" applyAlignment="1">
      <alignment horizontal="center" vertical="center" wrapText="1"/>
    </xf>
    <xf numFmtId="0" fontId="5" fillId="0" borderId="0" xfId="0" applyFont="1" applyFill="1"/>
    <xf numFmtId="0" fontId="3" fillId="0" borderId="0" xfId="0" applyFont="1" applyFill="1"/>
    <xf numFmtId="0" fontId="4" fillId="8" borderId="0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center"/>
    </xf>
  </cellXfs>
  <cellStyles count="1">
    <cellStyle name="Normal" xfId="0" builtinId="0"/>
  </cellStyles>
  <dxfs count="9">
    <dxf>
      <font>
        <b/>
        <color rgb="FFFFFFFF"/>
      </font>
      <fill>
        <patternFill>
          <bgColor rgb="FF5B6178"/>
        </patternFill>
      </fill>
    </dxf>
    <dxf>
      <font>
        <b/>
        <color rgb="FFFFFFFF"/>
      </font>
      <fill>
        <patternFill>
          <bgColor rgb="FFE3A72F"/>
        </patternFill>
      </fill>
    </dxf>
    <dxf>
      <font>
        <b/>
        <color rgb="FFFFFFFF"/>
      </font>
      <fill>
        <patternFill>
          <bgColor rgb="FF2E7D4F"/>
        </patternFill>
      </fill>
    </dxf>
    <dxf>
      <fill>
        <patternFill>
          <bgColor rgb="FFE9EAEE"/>
        </patternFill>
      </fill>
    </dxf>
    <dxf>
      <fill>
        <patternFill>
          <bgColor rgb="FFFBF3E2"/>
        </patternFill>
      </fill>
    </dxf>
    <dxf>
      <fill>
        <patternFill>
          <bgColor rgb="FFEEF5F0"/>
        </patternFill>
      </fill>
    </dxf>
    <dxf>
      <fill>
        <patternFill>
          <bgColor rgb="FF5B6178"/>
        </patternFill>
      </fill>
    </dxf>
    <dxf>
      <fill>
        <patternFill>
          <bgColor rgb="FFE3A72F"/>
        </patternFill>
      </fill>
    </dxf>
    <dxf>
      <fill>
        <patternFill>
          <bgColor rgb="FF2E7D4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3E2"/>
      <rgbColor rgb="FFEEF5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AEE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E3A72F"/>
      <rgbColor rgb="FFFF6600"/>
      <rgbColor rgb="FF5B6178"/>
      <rgbColor rgb="FF8EA9C1"/>
      <rgbColor rgb="FF203864"/>
      <rgbColor rgb="FF2E7D4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6"/>
  <sheetViews>
    <sheetView zoomScaleNormal="10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J16" sqref="J16"/>
    </sheetView>
  </sheetViews>
  <sheetFormatPr baseColWidth="10" defaultColWidth="8.7109375" defaultRowHeight="15" x14ac:dyDescent="0.25"/>
  <cols>
    <col min="1" max="1" width="26" customWidth="1"/>
    <col min="2" max="2" width="48" customWidth="1"/>
    <col min="3" max="3" width="12" customWidth="1"/>
    <col min="4" max="4" width="11" customWidth="1"/>
    <col min="5" max="8" width="12" customWidth="1"/>
    <col min="9" max="9" width="18" customWidth="1"/>
    <col min="10" max="10" width="10" customWidth="1"/>
    <col min="11" max="11" width="70" customWidth="1"/>
  </cols>
  <sheetData>
    <row r="1" spans="1:11" ht="16.5" x14ac:dyDescent="0.25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31.5" customHeight="1" x14ac:dyDescent="0.25">
      <c r="A3" s="31" t="s">
        <v>1</v>
      </c>
      <c r="B3" s="31" t="s">
        <v>2</v>
      </c>
      <c r="C3" s="31" t="s">
        <v>3</v>
      </c>
      <c r="D3" s="31" t="s">
        <v>4</v>
      </c>
      <c r="E3" s="31" t="s">
        <v>5</v>
      </c>
      <c r="F3" s="31" t="s">
        <v>6</v>
      </c>
      <c r="G3" s="31" t="s">
        <v>7</v>
      </c>
      <c r="H3" s="31" t="s">
        <v>8</v>
      </c>
      <c r="I3" s="31" t="s">
        <v>9</v>
      </c>
      <c r="J3" s="31" t="s">
        <v>10</v>
      </c>
      <c r="K3" s="31" t="s">
        <v>11</v>
      </c>
    </row>
    <row r="4" spans="1:11" ht="28.5" x14ac:dyDescent="0.25">
      <c r="A4" s="2" t="s">
        <v>12</v>
      </c>
      <c r="B4" s="3" t="s">
        <v>13</v>
      </c>
      <c r="C4" s="21">
        <v>46391</v>
      </c>
      <c r="D4" s="22">
        <v>21</v>
      </c>
      <c r="E4" s="23">
        <f t="shared" ref="E4:E14" si="0">C4+D4</f>
        <v>46412</v>
      </c>
      <c r="F4" s="24"/>
      <c r="G4" s="24"/>
      <c r="H4" s="24"/>
      <c r="I4" s="25">
        <v>4800000</v>
      </c>
      <c r="J4" s="26">
        <v>1.25</v>
      </c>
      <c r="K4" s="27" t="s">
        <v>14</v>
      </c>
    </row>
    <row r="5" spans="1:11" ht="28.5" x14ac:dyDescent="0.25">
      <c r="A5" s="2" t="s">
        <v>12</v>
      </c>
      <c r="B5" s="3" t="s">
        <v>15</v>
      </c>
      <c r="C5" s="21">
        <v>46405</v>
      </c>
      <c r="D5" s="22">
        <v>14</v>
      </c>
      <c r="E5" s="23">
        <f t="shared" si="0"/>
        <v>46419</v>
      </c>
      <c r="F5" s="24"/>
      <c r="G5" s="24"/>
      <c r="H5" s="24"/>
      <c r="I5" s="25">
        <v>2000000</v>
      </c>
      <c r="J5" s="26">
        <v>3.1124999999999998</v>
      </c>
      <c r="K5" s="27" t="s">
        <v>16</v>
      </c>
    </row>
    <row r="6" spans="1:11" ht="28.5" x14ac:dyDescent="0.25">
      <c r="A6" s="2" t="s">
        <v>17</v>
      </c>
      <c r="B6" s="3" t="s">
        <v>18</v>
      </c>
      <c r="C6" s="21">
        <v>46391</v>
      </c>
      <c r="D6" s="24">
        <f>$C$18-C6</f>
        <v>361</v>
      </c>
      <c r="E6" s="23">
        <f t="shared" si="0"/>
        <v>46752</v>
      </c>
      <c r="F6" s="24"/>
      <c r="G6" s="24"/>
      <c r="H6" s="24"/>
      <c r="I6" s="25">
        <v>11400000</v>
      </c>
      <c r="J6" s="26">
        <v>1.2456</v>
      </c>
      <c r="K6" s="27" t="s">
        <v>19</v>
      </c>
    </row>
    <row r="7" spans="1:11" x14ac:dyDescent="0.25">
      <c r="A7" s="2" t="s">
        <v>17</v>
      </c>
      <c r="B7" s="3" t="s">
        <v>20</v>
      </c>
      <c r="C7" s="21">
        <v>46391</v>
      </c>
      <c r="D7" s="24">
        <f>$C$18-C7</f>
        <v>361</v>
      </c>
      <c r="E7" s="23">
        <f t="shared" si="0"/>
        <v>46752</v>
      </c>
      <c r="F7" s="24"/>
      <c r="G7" s="24"/>
      <c r="H7" s="24"/>
      <c r="I7" s="25">
        <v>1200000</v>
      </c>
      <c r="J7" s="26">
        <v>5.4</v>
      </c>
      <c r="K7" s="27" t="s">
        <v>21</v>
      </c>
    </row>
    <row r="8" spans="1:11" x14ac:dyDescent="0.25">
      <c r="A8" s="2" t="s">
        <v>17</v>
      </c>
      <c r="B8" s="3" t="s">
        <v>22</v>
      </c>
      <c r="C8" s="21">
        <v>46405</v>
      </c>
      <c r="D8" s="24">
        <f>$C$18-C8</f>
        <v>347</v>
      </c>
      <c r="E8" s="23">
        <f t="shared" si="0"/>
        <v>46752</v>
      </c>
      <c r="F8" s="24"/>
      <c r="G8" s="24"/>
      <c r="H8" s="24"/>
      <c r="I8" s="25">
        <v>24000000</v>
      </c>
      <c r="J8" s="26">
        <v>3.2667000000000002</v>
      </c>
      <c r="K8" s="27" t="s">
        <v>23</v>
      </c>
    </row>
    <row r="9" spans="1:11" x14ac:dyDescent="0.25">
      <c r="A9" s="2" t="s">
        <v>17</v>
      </c>
      <c r="B9" s="3" t="s">
        <v>24</v>
      </c>
      <c r="C9" s="21">
        <v>46433</v>
      </c>
      <c r="D9" s="24">
        <f>$C$18-C9</f>
        <v>319</v>
      </c>
      <c r="E9" s="23">
        <f t="shared" si="0"/>
        <v>46752</v>
      </c>
      <c r="F9" s="24"/>
      <c r="G9" s="24"/>
      <c r="H9" s="24"/>
      <c r="I9" s="25">
        <v>8000000</v>
      </c>
      <c r="J9" s="26">
        <v>4.2727000000000004</v>
      </c>
      <c r="K9" s="27" t="s">
        <v>25</v>
      </c>
    </row>
    <row r="10" spans="1:11" x14ac:dyDescent="0.25">
      <c r="A10" s="2" t="s">
        <v>26</v>
      </c>
      <c r="B10" s="3" t="s">
        <v>27</v>
      </c>
      <c r="C10" s="21">
        <v>46461</v>
      </c>
      <c r="D10" s="24">
        <f>$C$18-C10</f>
        <v>291</v>
      </c>
      <c r="E10" s="23">
        <f t="shared" si="0"/>
        <v>46752</v>
      </c>
      <c r="F10" s="24"/>
      <c r="G10" s="24"/>
      <c r="H10" s="24"/>
      <c r="I10" s="25">
        <v>4000000</v>
      </c>
      <c r="J10" s="26">
        <v>3.3889999999999998</v>
      </c>
      <c r="K10" s="27" t="s">
        <v>28</v>
      </c>
    </row>
    <row r="11" spans="1:11" x14ac:dyDescent="0.25">
      <c r="A11" s="2" t="s">
        <v>26</v>
      </c>
      <c r="B11" s="3" t="s">
        <v>29</v>
      </c>
      <c r="C11" s="21">
        <v>46489</v>
      </c>
      <c r="D11" s="22">
        <v>84</v>
      </c>
      <c r="E11" s="23">
        <f t="shared" si="0"/>
        <v>46573</v>
      </c>
      <c r="F11" s="24"/>
      <c r="G11" s="24"/>
      <c r="H11" s="24"/>
      <c r="I11" s="25">
        <v>2000000</v>
      </c>
      <c r="J11" s="26">
        <v>3.3312499999999998</v>
      </c>
      <c r="K11" s="27" t="s">
        <v>30</v>
      </c>
    </row>
    <row r="12" spans="1:11" x14ac:dyDescent="0.25">
      <c r="A12" s="2" t="s">
        <v>31</v>
      </c>
      <c r="B12" s="3" t="s">
        <v>32</v>
      </c>
      <c r="C12" s="21">
        <v>46426</v>
      </c>
      <c r="D12" s="22">
        <v>7</v>
      </c>
      <c r="E12" s="23">
        <f t="shared" si="0"/>
        <v>46433</v>
      </c>
      <c r="F12" s="24"/>
      <c r="G12" s="24"/>
      <c r="H12" s="24"/>
      <c r="I12" s="25">
        <v>4300000</v>
      </c>
      <c r="J12" s="26">
        <v>1.6744000000000001</v>
      </c>
      <c r="K12" s="27" t="s">
        <v>33</v>
      </c>
    </row>
    <row r="13" spans="1:11" x14ac:dyDescent="0.25">
      <c r="A13" s="2" t="s">
        <v>31</v>
      </c>
      <c r="B13" s="3" t="s">
        <v>34</v>
      </c>
      <c r="C13" s="21">
        <v>46734</v>
      </c>
      <c r="D13" s="22">
        <v>14</v>
      </c>
      <c r="E13" s="23">
        <f t="shared" si="0"/>
        <v>46748</v>
      </c>
      <c r="F13" s="24"/>
      <c r="G13" s="24"/>
      <c r="H13" s="24"/>
      <c r="I13" s="25">
        <v>5300000</v>
      </c>
      <c r="J13" s="26">
        <v>3.2925</v>
      </c>
      <c r="K13" s="27" t="s">
        <v>35</v>
      </c>
    </row>
    <row r="14" spans="1:11" x14ac:dyDescent="0.25">
      <c r="A14" s="2" t="s">
        <v>36</v>
      </c>
      <c r="B14" s="3" t="s">
        <v>37</v>
      </c>
      <c r="C14" s="21">
        <v>46419</v>
      </c>
      <c r="D14" s="22">
        <v>7</v>
      </c>
      <c r="E14" s="23">
        <f t="shared" si="0"/>
        <v>46426</v>
      </c>
      <c r="F14" s="21">
        <v>46601</v>
      </c>
      <c r="G14" s="22">
        <v>7</v>
      </c>
      <c r="H14" s="23">
        <f>F14+G14</f>
        <v>46608</v>
      </c>
      <c r="I14" s="25">
        <v>2000000</v>
      </c>
      <c r="J14" s="26">
        <v>2.2999999999999998</v>
      </c>
      <c r="K14" s="27" t="s">
        <v>38</v>
      </c>
    </row>
    <row r="15" spans="1:11" x14ac:dyDescent="0.25">
      <c r="A15" s="4" t="s">
        <v>39</v>
      </c>
      <c r="B15" s="4" t="str">
        <f>COUNTA(B4:B14)&amp;" campañas"</f>
        <v>11 campañas</v>
      </c>
      <c r="C15" s="4"/>
      <c r="D15" s="4"/>
      <c r="E15" s="4"/>
      <c r="F15" s="4"/>
      <c r="G15" s="4"/>
      <c r="H15" s="4"/>
      <c r="I15" s="5">
        <f>SUM(I4:I14)</f>
        <v>69000000</v>
      </c>
      <c r="J15" s="4"/>
      <c r="K15" s="4"/>
    </row>
    <row r="16" spans="1:1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25">
      <c r="A17" s="32"/>
      <c r="B17" s="33"/>
      <c r="C17" s="28">
        <v>46391</v>
      </c>
      <c r="D17" s="1"/>
      <c r="E17" s="1"/>
      <c r="F17" s="1"/>
      <c r="G17" s="1"/>
      <c r="H17" s="1"/>
      <c r="I17" s="1"/>
      <c r="J17" s="1"/>
      <c r="K17" s="1"/>
    </row>
    <row r="18" spans="1:11" x14ac:dyDescent="0.25">
      <c r="A18" s="32"/>
      <c r="B18" s="33"/>
      <c r="C18" s="28">
        <v>46752</v>
      </c>
      <c r="D18" s="1"/>
      <c r="E18" s="1"/>
      <c r="F18" s="1"/>
      <c r="G18" s="1"/>
      <c r="H18" s="1"/>
      <c r="I18" s="1"/>
      <c r="J18" s="1"/>
      <c r="K18" s="1"/>
    </row>
    <row r="19" spans="1:1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25">
      <c r="A20" s="6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25">
      <c r="A21" s="7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7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25">
      <c r="A23" s="7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25">
      <c r="A24" s="7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25">
      <c r="A25" s="7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x14ac:dyDescent="0.25">
      <c r="A26" s="7"/>
      <c r="B26" s="1"/>
      <c r="C26" s="1"/>
      <c r="D26" s="1"/>
      <c r="E26" s="1"/>
      <c r="F26" s="1"/>
      <c r="G26" s="1"/>
      <c r="H26" s="1"/>
      <c r="I26" s="1"/>
      <c r="J26" s="1"/>
      <c r="K26" s="1"/>
    </row>
  </sheetData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F27"/>
  <sheetViews>
    <sheetView tabSelected="1"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L6" sqref="L6"/>
    </sheetView>
  </sheetViews>
  <sheetFormatPr baseColWidth="10" defaultColWidth="8.7109375" defaultRowHeight="15" x14ac:dyDescent="0.25"/>
  <cols>
    <col min="1" max="1" width="24" customWidth="1"/>
    <col min="2" max="2" width="48" customWidth="1"/>
    <col min="3" max="6" width="7" customWidth="1"/>
    <col min="7" max="58" width="3.85546875" customWidth="1"/>
  </cols>
  <sheetData>
    <row r="1" spans="1:58" ht="15" customHeight="1" x14ac:dyDescent="0.25">
      <c r="A1" s="34" t="s">
        <v>1</v>
      </c>
      <c r="B1" s="34" t="s">
        <v>2</v>
      </c>
      <c r="C1" s="34" t="s">
        <v>40</v>
      </c>
      <c r="D1" s="34" t="s">
        <v>41</v>
      </c>
      <c r="E1" s="34" t="s">
        <v>42</v>
      </c>
      <c r="F1" s="34" t="s">
        <v>43</v>
      </c>
      <c r="G1" s="35" t="s">
        <v>44</v>
      </c>
      <c r="H1" s="35"/>
      <c r="I1" s="35"/>
      <c r="J1" s="35"/>
      <c r="K1" s="35" t="s">
        <v>45</v>
      </c>
      <c r="L1" s="35"/>
      <c r="M1" s="35"/>
      <c r="N1" s="35"/>
      <c r="O1" s="35" t="s">
        <v>46</v>
      </c>
      <c r="P1" s="35"/>
      <c r="Q1" s="35"/>
      <c r="R1" s="35"/>
      <c r="S1" s="35"/>
      <c r="T1" s="35" t="s">
        <v>47</v>
      </c>
      <c r="U1" s="35"/>
      <c r="V1" s="35"/>
      <c r="W1" s="35"/>
      <c r="X1" s="35" t="s">
        <v>48</v>
      </c>
      <c r="Y1" s="35"/>
      <c r="Z1" s="35"/>
      <c r="AA1" s="35"/>
      <c r="AB1" s="35"/>
      <c r="AC1" s="35" t="s">
        <v>49</v>
      </c>
      <c r="AD1" s="35"/>
      <c r="AE1" s="35"/>
      <c r="AF1" s="35"/>
      <c r="AG1" s="35" t="s">
        <v>50</v>
      </c>
      <c r="AH1" s="35"/>
      <c r="AI1" s="35"/>
      <c r="AJ1" s="35"/>
      <c r="AK1" s="35" t="s">
        <v>51</v>
      </c>
      <c r="AL1" s="35"/>
      <c r="AM1" s="35"/>
      <c r="AN1" s="35"/>
      <c r="AO1" s="35"/>
      <c r="AP1" s="35" t="s">
        <v>52</v>
      </c>
      <c r="AQ1" s="35"/>
      <c r="AR1" s="35"/>
      <c r="AS1" s="35"/>
      <c r="AT1" s="35" t="s">
        <v>53</v>
      </c>
      <c r="AU1" s="35"/>
      <c r="AV1" s="35"/>
      <c r="AW1" s="35"/>
      <c r="AX1" s="35" t="s">
        <v>54</v>
      </c>
      <c r="AY1" s="35"/>
      <c r="AZ1" s="35"/>
      <c r="BA1" s="35"/>
      <c r="BB1" s="35"/>
      <c r="BC1" s="35" t="s">
        <v>55</v>
      </c>
      <c r="BD1" s="35"/>
      <c r="BE1" s="35"/>
      <c r="BF1" s="35"/>
    </row>
    <row r="2" spans="1:58" x14ac:dyDescent="0.25">
      <c r="A2" s="34"/>
      <c r="B2" s="34"/>
      <c r="C2" s="34"/>
      <c r="D2" s="34"/>
      <c r="E2" s="34"/>
      <c r="F2" s="34"/>
      <c r="G2" s="8">
        <v>46391</v>
      </c>
      <c r="H2" s="8">
        <v>46398</v>
      </c>
      <c r="I2" s="8">
        <v>46405</v>
      </c>
      <c r="J2" s="8">
        <v>46412</v>
      </c>
      <c r="K2" s="8">
        <v>46419</v>
      </c>
      <c r="L2" s="8">
        <v>46426</v>
      </c>
      <c r="M2" s="8">
        <v>46433</v>
      </c>
      <c r="N2" s="8">
        <v>46440</v>
      </c>
      <c r="O2" s="8">
        <v>46447</v>
      </c>
      <c r="P2" s="8">
        <v>46454</v>
      </c>
      <c r="Q2" s="8">
        <v>46461</v>
      </c>
      <c r="R2" s="8">
        <v>46468</v>
      </c>
      <c r="S2" s="8">
        <v>46475</v>
      </c>
      <c r="T2" s="8">
        <v>46482</v>
      </c>
      <c r="U2" s="8">
        <v>46489</v>
      </c>
      <c r="V2" s="8">
        <v>46496</v>
      </c>
      <c r="W2" s="8">
        <v>46503</v>
      </c>
      <c r="X2" s="8">
        <v>46510</v>
      </c>
      <c r="Y2" s="8">
        <v>46517</v>
      </c>
      <c r="Z2" s="8">
        <v>46524</v>
      </c>
      <c r="AA2" s="8">
        <v>46531</v>
      </c>
      <c r="AB2" s="8">
        <v>46538</v>
      </c>
      <c r="AC2" s="8">
        <v>46545</v>
      </c>
      <c r="AD2" s="8">
        <v>46552</v>
      </c>
      <c r="AE2" s="8">
        <v>46559</v>
      </c>
      <c r="AF2" s="8">
        <v>46566</v>
      </c>
      <c r="AG2" s="8">
        <v>46573</v>
      </c>
      <c r="AH2" s="8">
        <v>46580</v>
      </c>
      <c r="AI2" s="8">
        <v>46587</v>
      </c>
      <c r="AJ2" s="8">
        <v>46594</v>
      </c>
      <c r="AK2" s="8">
        <v>46601</v>
      </c>
      <c r="AL2" s="8">
        <v>46608</v>
      </c>
      <c r="AM2" s="8">
        <v>46615</v>
      </c>
      <c r="AN2" s="8">
        <v>46622</v>
      </c>
      <c r="AO2" s="8">
        <v>46629</v>
      </c>
      <c r="AP2" s="8">
        <v>46636</v>
      </c>
      <c r="AQ2" s="8">
        <v>46643</v>
      </c>
      <c r="AR2" s="8">
        <v>46650</v>
      </c>
      <c r="AS2" s="8">
        <v>46657</v>
      </c>
      <c r="AT2" s="8">
        <v>46664</v>
      </c>
      <c r="AU2" s="8">
        <v>46671</v>
      </c>
      <c r="AV2" s="8">
        <v>46678</v>
      </c>
      <c r="AW2" s="8">
        <v>46685</v>
      </c>
      <c r="AX2" s="8">
        <v>46692</v>
      </c>
      <c r="AY2" s="8">
        <v>46699</v>
      </c>
      <c r="AZ2" s="8">
        <v>46706</v>
      </c>
      <c r="BA2" s="8">
        <v>46713</v>
      </c>
      <c r="BB2" s="8">
        <v>46720</v>
      </c>
      <c r="BC2" s="8">
        <v>46727</v>
      </c>
      <c r="BD2" s="8">
        <v>46734</v>
      </c>
      <c r="BE2" s="8">
        <v>46741</v>
      </c>
      <c r="BF2" s="8">
        <v>46748</v>
      </c>
    </row>
    <row r="3" spans="1:58" x14ac:dyDescent="0.25">
      <c r="A3" s="7" t="s">
        <v>56</v>
      </c>
      <c r="B3" s="1"/>
      <c r="C3" s="1"/>
      <c r="D3" s="1"/>
      <c r="E3" s="1"/>
      <c r="F3" s="1"/>
      <c r="G3" s="9" t="s">
        <v>57</v>
      </c>
      <c r="H3" s="9" t="s">
        <v>57</v>
      </c>
      <c r="I3" s="9" t="s">
        <v>57</v>
      </c>
      <c r="J3" s="9" t="s">
        <v>57</v>
      </c>
      <c r="K3" s="9" t="s">
        <v>58</v>
      </c>
      <c r="L3" s="9" t="s">
        <v>58</v>
      </c>
      <c r="M3" s="9" t="s">
        <v>58</v>
      </c>
      <c r="N3" s="9" t="s">
        <v>58</v>
      </c>
      <c r="O3" s="9" t="s">
        <v>58</v>
      </c>
      <c r="P3" s="9" t="s">
        <v>58</v>
      </c>
      <c r="Q3" s="9" t="s">
        <v>58</v>
      </c>
      <c r="R3" s="9" t="s">
        <v>59</v>
      </c>
      <c r="S3" s="9" t="s">
        <v>58</v>
      </c>
      <c r="T3" s="9" t="s">
        <v>58</v>
      </c>
      <c r="U3" s="9" t="s">
        <v>58</v>
      </c>
      <c r="V3" s="9" t="s">
        <v>58</v>
      </c>
      <c r="W3" s="9" t="s">
        <v>58</v>
      </c>
      <c r="X3" s="9" t="s">
        <v>58</v>
      </c>
      <c r="Y3" s="9" t="s">
        <v>58</v>
      </c>
      <c r="Z3" s="9" t="s">
        <v>58</v>
      </c>
      <c r="AA3" s="9" t="s">
        <v>58</v>
      </c>
      <c r="AB3" s="9" t="s">
        <v>58</v>
      </c>
      <c r="AC3" s="9" t="s">
        <v>57</v>
      </c>
      <c r="AD3" s="9" t="s">
        <v>57</v>
      </c>
      <c r="AE3" s="9" t="s">
        <v>57</v>
      </c>
      <c r="AF3" s="9" t="s">
        <v>59</v>
      </c>
      <c r="AG3" s="9" t="s">
        <v>59</v>
      </c>
      <c r="AH3" s="9" t="s">
        <v>57</v>
      </c>
      <c r="AI3" s="9" t="s">
        <v>57</v>
      </c>
      <c r="AJ3" s="9" t="s">
        <v>57</v>
      </c>
      <c r="AK3" s="9" t="s">
        <v>58</v>
      </c>
      <c r="AL3" s="9" t="s">
        <v>58</v>
      </c>
      <c r="AM3" s="9" t="s">
        <v>58</v>
      </c>
      <c r="AN3" s="9" t="s">
        <v>58</v>
      </c>
      <c r="AO3" s="9" t="s">
        <v>58</v>
      </c>
      <c r="AP3" s="9" t="s">
        <v>58</v>
      </c>
      <c r="AQ3" s="9" t="s">
        <v>58</v>
      </c>
      <c r="AR3" s="9" t="s">
        <v>58</v>
      </c>
      <c r="AS3" s="9" t="s">
        <v>58</v>
      </c>
      <c r="AT3" s="9" t="s">
        <v>58</v>
      </c>
      <c r="AU3" s="9" t="s">
        <v>58</v>
      </c>
      <c r="AV3" s="9" t="s">
        <v>58</v>
      </c>
      <c r="AW3" s="9" t="s">
        <v>58</v>
      </c>
      <c r="AX3" s="9" t="s">
        <v>58</v>
      </c>
      <c r="AY3" s="9" t="s">
        <v>58</v>
      </c>
      <c r="AZ3" s="9" t="s">
        <v>58</v>
      </c>
      <c r="BA3" s="9" t="s">
        <v>58</v>
      </c>
      <c r="BB3" s="9" t="s">
        <v>57</v>
      </c>
      <c r="BC3" s="9" t="s">
        <v>57</v>
      </c>
      <c r="BD3" s="9" t="s">
        <v>57</v>
      </c>
      <c r="BE3" s="9" t="s">
        <v>59</v>
      </c>
      <c r="BF3" s="9" t="s">
        <v>59</v>
      </c>
    </row>
    <row r="4" spans="1:58" x14ac:dyDescent="0.25">
      <c r="A4" s="10" t="s">
        <v>12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</row>
    <row r="5" spans="1:58" x14ac:dyDescent="0.25">
      <c r="A5" s="12"/>
      <c r="B5" s="12" t="str">
        <f>Campañas!B4</f>
        <v>Prensa y Redes (Teaser + PR + Promo apertura)</v>
      </c>
      <c r="C5" s="13">
        <f>Campañas!C4</f>
        <v>46391</v>
      </c>
      <c r="D5" s="13">
        <f>Campañas!E4</f>
        <v>46412</v>
      </c>
      <c r="E5" s="13" t="str">
        <f>IF(Campañas!F4="","",Campañas!F4)</f>
        <v/>
      </c>
      <c r="F5" s="13" t="str">
        <f>IF(Campañas!H4="","",Campañas!H4)</f>
        <v/>
      </c>
      <c r="G5" s="1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x14ac:dyDescent="0.25">
      <c r="A6" s="12"/>
      <c r="B6" s="12" t="str">
        <f>Campañas!B5</f>
        <v>Volantes, degustaciones y garantía de satisfacción</v>
      </c>
      <c r="C6" s="13">
        <f>Campañas!C5</f>
        <v>46405</v>
      </c>
      <c r="D6" s="13">
        <f>Campañas!E5</f>
        <v>46419</v>
      </c>
      <c r="E6" s="13" t="str">
        <f>IF(Campañas!F5="","",Campañas!F5)</f>
        <v/>
      </c>
      <c r="F6" s="13" t="str">
        <f>IF(Campañas!H5="","",Campañas!H5)</f>
        <v/>
      </c>
      <c r="G6" s="1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10" t="s">
        <v>17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</row>
    <row r="8" spans="1:58" x14ac:dyDescent="0.25">
      <c r="A8" s="12"/>
      <c r="B8" s="12" t="str">
        <f>Campañas!B6</f>
        <v>Contenido orgánico IG/TikTok/Facebook</v>
      </c>
      <c r="C8" s="13">
        <f>Campañas!C6</f>
        <v>46391</v>
      </c>
      <c r="D8" s="13">
        <f>Campañas!E6</f>
        <v>46752</v>
      </c>
      <c r="E8" s="13" t="str">
        <f>IF(Campañas!F6="","",Campañas!F6)</f>
        <v/>
      </c>
      <c r="F8" s="13" t="str">
        <f>IF(Campañas!H6="","",Campañas!H6)</f>
        <v/>
      </c>
      <c r="G8" s="14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x14ac:dyDescent="0.25">
      <c r="A9" s="12"/>
      <c r="B9" s="12" t="str">
        <f>Campañas!B7</f>
        <v>Google Business Profile (SEO local)</v>
      </c>
      <c r="C9" s="13">
        <f>Campañas!C7</f>
        <v>46391</v>
      </c>
      <c r="D9" s="13">
        <f>Campañas!E7</f>
        <v>46752</v>
      </c>
      <c r="E9" s="13" t="str">
        <f>IF(Campañas!F7="","",Campañas!F7)</f>
        <v/>
      </c>
      <c r="F9" s="13" t="str">
        <f>IF(Campañas!H7="","",Campañas!H7)</f>
        <v/>
      </c>
      <c r="G9" s="1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12"/>
      <c r="B10" s="12" t="str">
        <f>Campañas!B8</f>
        <v>Meta Ads pagado (geo-segmentado)</v>
      </c>
      <c r="C10" s="13">
        <f>Campañas!C8</f>
        <v>46405</v>
      </c>
      <c r="D10" s="13">
        <f>Campañas!E8</f>
        <v>46752</v>
      </c>
      <c r="E10" s="13" t="str">
        <f>IF(Campañas!F8="","",Campañas!F8)</f>
        <v/>
      </c>
      <c r="F10" s="13" t="str">
        <f>IF(Campañas!H8="","",Campañas!H8)</f>
        <v/>
      </c>
      <c r="G10" s="1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</row>
    <row r="11" spans="1:58" x14ac:dyDescent="0.25">
      <c r="A11" s="12"/>
      <c r="B11" s="12" t="str">
        <f>Campañas!B9</f>
        <v>QR en empaques/recibos + referidos</v>
      </c>
      <c r="C11" s="13">
        <f>Campañas!C9</f>
        <v>46433</v>
      </c>
      <c r="D11" s="13">
        <f>Campañas!E9</f>
        <v>46752</v>
      </c>
      <c r="E11" s="13" t="str">
        <f>IF(Campañas!F9="","",Campañas!F9)</f>
        <v/>
      </c>
      <c r="F11" s="13" t="str">
        <f>IF(Campañas!H9="","",Campañas!H9)</f>
        <v/>
      </c>
      <c r="G11" s="14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x14ac:dyDescent="0.25">
      <c r="A12" s="10" t="s">
        <v>26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</row>
    <row r="13" spans="1:58" x14ac:dyDescent="0.25">
      <c r="A13" s="12"/>
      <c r="B13" s="12" t="str">
        <f>Campañas!B10</f>
        <v>Almuerzos corporativos (pedidos por WhatsApp)</v>
      </c>
      <c r="C13" s="13">
        <f>Campañas!C10</f>
        <v>46461</v>
      </c>
      <c r="D13" s="13">
        <f>Campañas!E10</f>
        <v>46752</v>
      </c>
      <c r="E13" s="13" t="str">
        <f>IF(Campañas!F10="","",Campañas!F10)</f>
        <v/>
      </c>
      <c r="F13" s="13" t="str">
        <f>IF(Campañas!H10="","",Campañas!H10)</f>
        <v/>
      </c>
      <c r="G13" s="1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</row>
    <row r="14" spans="1:58" x14ac:dyDescent="0.25">
      <c r="A14" s="12"/>
      <c r="B14" s="12" t="str">
        <f>Campañas!B11</f>
        <v>Refiere y gana (papas gratis)</v>
      </c>
      <c r="C14" s="13">
        <f>Campañas!C11</f>
        <v>46489</v>
      </c>
      <c r="D14" s="13">
        <f>Campañas!E11</f>
        <v>46573</v>
      </c>
      <c r="E14" s="13" t="str">
        <f>IF(Campañas!F11="","",Campañas!F11)</f>
        <v/>
      </c>
      <c r="F14" s="13" t="str">
        <f>IF(Campañas!H11="","",Campañas!H11)</f>
        <v/>
      </c>
      <c r="G14" s="1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</row>
    <row r="15" spans="1:58" x14ac:dyDescent="0.25">
      <c r="A15" s="10" t="s">
        <v>31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</row>
    <row r="16" spans="1:58" x14ac:dyDescent="0.25">
      <c r="A16" s="12"/>
      <c r="B16" s="12" t="str">
        <f>Campañas!B12</f>
        <v>San Valentín (Comparte un Döner)</v>
      </c>
      <c r="C16" s="13">
        <f>Campañas!C12</f>
        <v>46426</v>
      </c>
      <c r="D16" s="13">
        <f>Campañas!E12</f>
        <v>46433</v>
      </c>
      <c r="E16" s="13" t="str">
        <f>IF(Campañas!F12="","",Campañas!F12)</f>
        <v/>
      </c>
      <c r="F16" s="13" t="str">
        <f>IF(Campañas!H12="","",Campañas!H12)</f>
        <v/>
      </c>
      <c r="G16" s="1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</row>
    <row r="17" spans="1:58" x14ac:dyDescent="0.25">
      <c r="A17" s="12"/>
      <c r="B17" s="12" t="str">
        <f>Campañas!B13</f>
        <v>Navidad y fin de año (Party Pack)</v>
      </c>
      <c r="C17" s="13">
        <f>Campañas!C13</f>
        <v>46734</v>
      </c>
      <c r="D17" s="13">
        <f>Campañas!E13</f>
        <v>46748</v>
      </c>
      <c r="E17" s="13" t="str">
        <f>IF(Campañas!F13="","",Campañas!F13)</f>
        <v/>
      </c>
      <c r="F17" s="13" t="str">
        <f>IF(Campañas!H13="","",Campañas!H13)</f>
        <v/>
      </c>
      <c r="G17" s="1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</row>
    <row r="18" spans="1:58" x14ac:dyDescent="0.25">
      <c r="A18" s="10" t="s">
        <v>36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</row>
    <row r="19" spans="1:58" x14ac:dyDescent="0.25">
      <c r="A19" s="12"/>
      <c r="B19" s="12" t="str">
        <f>Campañas!B14</f>
        <v>Semana de bienvenida universitaria</v>
      </c>
      <c r="C19" s="13">
        <f>Campañas!C14</f>
        <v>46419</v>
      </c>
      <c r="D19" s="13">
        <f>Campañas!E14</f>
        <v>46426</v>
      </c>
      <c r="E19" s="13">
        <f>IF(Campañas!F14="","",Campañas!F14)</f>
        <v>46601</v>
      </c>
      <c r="F19" s="13">
        <f>IF(Campañas!H14="","",Campañas!H14)</f>
        <v>46608</v>
      </c>
      <c r="G19" s="1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</row>
    <row r="20" spans="1:5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</row>
    <row r="21" spans="1:58" x14ac:dyDescent="0.25">
      <c r="A21" s="1"/>
      <c r="B21" s="15"/>
      <c r="C21" s="1"/>
      <c r="D21" s="1"/>
      <c r="E21" s="1"/>
      <c r="F21" s="1"/>
      <c r="G21" s="16">
        <f t="shared" ref="G21:AL21" si="0">SUMPRODUCT(($B$5:$B$19&lt;&gt;"")*(((G$2&lt;$D$5:$D$19)*(G$2+7&gt;$C$5:$C$19))+(($E$5:$E$19&lt;&gt;"")*(G$2&lt;N(+$F$5:$F$19))*(G$2+7&gt;N(+$E$5:$E$19)))&gt;0))</f>
        <v>3</v>
      </c>
      <c r="H21" s="16">
        <f t="shared" si="0"/>
        <v>3</v>
      </c>
      <c r="I21" s="16">
        <f t="shared" si="0"/>
        <v>5</v>
      </c>
      <c r="J21" s="16">
        <f t="shared" si="0"/>
        <v>4</v>
      </c>
      <c r="K21" s="16">
        <f t="shared" si="0"/>
        <v>4</v>
      </c>
      <c r="L21" s="16">
        <f t="shared" si="0"/>
        <v>4</v>
      </c>
      <c r="M21" s="16">
        <f t="shared" si="0"/>
        <v>4</v>
      </c>
      <c r="N21" s="16">
        <f t="shared" si="0"/>
        <v>4</v>
      </c>
      <c r="O21" s="16">
        <f t="shared" si="0"/>
        <v>4</v>
      </c>
      <c r="P21" s="16">
        <f t="shared" si="0"/>
        <v>4</v>
      </c>
      <c r="Q21" s="16">
        <f t="shared" si="0"/>
        <v>5</v>
      </c>
      <c r="R21" s="16">
        <f t="shared" si="0"/>
        <v>5</v>
      </c>
      <c r="S21" s="16">
        <f t="shared" si="0"/>
        <v>5</v>
      </c>
      <c r="T21" s="16">
        <f t="shared" si="0"/>
        <v>5</v>
      </c>
      <c r="U21" s="16">
        <f t="shared" si="0"/>
        <v>6</v>
      </c>
      <c r="V21" s="16">
        <f t="shared" si="0"/>
        <v>6</v>
      </c>
      <c r="W21" s="16">
        <f t="shared" si="0"/>
        <v>6</v>
      </c>
      <c r="X21" s="16">
        <f t="shared" si="0"/>
        <v>6</v>
      </c>
      <c r="Y21" s="16">
        <f t="shared" si="0"/>
        <v>6</v>
      </c>
      <c r="Z21" s="16">
        <f t="shared" si="0"/>
        <v>6</v>
      </c>
      <c r="AA21" s="16">
        <f t="shared" si="0"/>
        <v>6</v>
      </c>
      <c r="AB21" s="16">
        <f t="shared" si="0"/>
        <v>6</v>
      </c>
      <c r="AC21" s="16">
        <f t="shared" si="0"/>
        <v>6</v>
      </c>
      <c r="AD21" s="16">
        <f t="shared" si="0"/>
        <v>6</v>
      </c>
      <c r="AE21" s="16">
        <f t="shared" si="0"/>
        <v>6</v>
      </c>
      <c r="AF21" s="16">
        <f t="shared" si="0"/>
        <v>6</v>
      </c>
      <c r="AG21" s="16">
        <f t="shared" si="0"/>
        <v>5</v>
      </c>
      <c r="AH21" s="16">
        <f t="shared" si="0"/>
        <v>5</v>
      </c>
      <c r="AI21" s="16">
        <f t="shared" si="0"/>
        <v>5</v>
      </c>
      <c r="AJ21" s="16">
        <f t="shared" si="0"/>
        <v>5</v>
      </c>
      <c r="AK21" s="16">
        <f t="shared" si="0"/>
        <v>6</v>
      </c>
      <c r="AL21" s="16">
        <f t="shared" si="0"/>
        <v>5</v>
      </c>
      <c r="AM21" s="16">
        <f t="shared" ref="AM21:BF21" si="1">SUMPRODUCT(($B$5:$B$19&lt;&gt;"")*(((AM$2&lt;$D$5:$D$19)*(AM$2+7&gt;$C$5:$C$19))+(($E$5:$E$19&lt;&gt;"")*(AM$2&lt;N(+$F$5:$F$19))*(AM$2+7&gt;N(+$E$5:$E$19)))&gt;0))</f>
        <v>5</v>
      </c>
      <c r="AN21" s="16">
        <f t="shared" si="1"/>
        <v>5</v>
      </c>
      <c r="AO21" s="16">
        <f t="shared" si="1"/>
        <v>5</v>
      </c>
      <c r="AP21" s="16">
        <f t="shared" si="1"/>
        <v>5</v>
      </c>
      <c r="AQ21" s="16">
        <f t="shared" si="1"/>
        <v>5</v>
      </c>
      <c r="AR21" s="16">
        <f t="shared" si="1"/>
        <v>5</v>
      </c>
      <c r="AS21" s="16">
        <f t="shared" si="1"/>
        <v>5</v>
      </c>
      <c r="AT21" s="16">
        <f t="shared" si="1"/>
        <v>5</v>
      </c>
      <c r="AU21" s="16">
        <f t="shared" si="1"/>
        <v>5</v>
      </c>
      <c r="AV21" s="16">
        <f t="shared" si="1"/>
        <v>5</v>
      </c>
      <c r="AW21" s="16">
        <f t="shared" si="1"/>
        <v>5</v>
      </c>
      <c r="AX21" s="16">
        <f t="shared" si="1"/>
        <v>5</v>
      </c>
      <c r="AY21" s="16">
        <f t="shared" si="1"/>
        <v>5</v>
      </c>
      <c r="AZ21" s="16">
        <f t="shared" si="1"/>
        <v>5</v>
      </c>
      <c r="BA21" s="16">
        <f t="shared" si="1"/>
        <v>5</v>
      </c>
      <c r="BB21" s="16">
        <f t="shared" si="1"/>
        <v>5</v>
      </c>
      <c r="BC21" s="16">
        <f t="shared" si="1"/>
        <v>5</v>
      </c>
      <c r="BD21" s="16">
        <f t="shared" si="1"/>
        <v>6</v>
      </c>
      <c r="BE21" s="16">
        <f t="shared" si="1"/>
        <v>6</v>
      </c>
      <c r="BF21" s="16">
        <f t="shared" si="1"/>
        <v>5</v>
      </c>
    </row>
    <row r="22" spans="1:58" x14ac:dyDescent="0.25">
      <c r="A22" s="1"/>
      <c r="B22" s="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</row>
    <row r="23" spans="1:5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</row>
    <row r="24" spans="1:58" x14ac:dyDescent="0.25">
      <c r="A24" s="15" t="s">
        <v>60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</row>
    <row r="25" spans="1:58" x14ac:dyDescent="0.25">
      <c r="A25" s="17"/>
      <c r="B25" s="18" t="s">
        <v>61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</row>
    <row r="26" spans="1:58" x14ac:dyDescent="0.25">
      <c r="A26" s="19"/>
      <c r="B26" s="18" t="s">
        <v>62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</row>
    <row r="27" spans="1:58" x14ac:dyDescent="0.25">
      <c r="A27" s="20"/>
      <c r="B27" s="18" t="s">
        <v>63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</row>
  </sheetData>
  <mergeCells count="18">
    <mergeCell ref="AT1:AW1"/>
    <mergeCell ref="AX1:BB1"/>
    <mergeCell ref="BC1:BF1"/>
    <mergeCell ref="X1:AB1"/>
    <mergeCell ref="AC1:AF1"/>
    <mergeCell ref="AG1:AJ1"/>
    <mergeCell ref="AK1:AO1"/>
    <mergeCell ref="AP1:AS1"/>
    <mergeCell ref="F1:F2"/>
    <mergeCell ref="G1:J1"/>
    <mergeCell ref="K1:N1"/>
    <mergeCell ref="O1:S1"/>
    <mergeCell ref="T1:W1"/>
    <mergeCell ref="A1:A2"/>
    <mergeCell ref="B1:B2"/>
    <mergeCell ref="C1:C2"/>
    <mergeCell ref="D1:D2"/>
    <mergeCell ref="E1:E2"/>
  </mergeCells>
  <conditionalFormatting sqref="G5:BF19">
    <cfRule type="expression" dxfId="8" priority="2">
      <formula>AND($B5&lt;&gt;"",OR(AND(G$2&lt;$D5,G$2+7&gt;$C5),AND($E5&lt;&gt;"",G$2&lt;$F5,G$2+7&gt;$E5)),G$3="Alta")</formula>
    </cfRule>
    <cfRule type="expression" dxfId="7" priority="3">
      <formula>AND($B5&lt;&gt;"",OR(AND(G$2&lt;$D5,G$2+7&gt;$C5),AND($E5&lt;&gt;"",G$2&lt;$F5,G$2+7&gt;$E5)),G$3="Baja")</formula>
    </cfRule>
    <cfRule type="expression" dxfId="6" priority="4">
      <formula>AND($B5&lt;&gt;"",OR(AND(G$2&lt;$D5,G$2+7&gt;$C5),AND($E5&lt;&gt;"",G$2&lt;$F5,G$2+7&gt;$E5)),G$3="Muerta")</formula>
    </cfRule>
    <cfRule type="expression" dxfId="5" priority="5">
      <formula>AND($B5&lt;&gt;"",G$3="Alta")</formula>
    </cfRule>
    <cfRule type="expression" dxfId="4" priority="6">
      <formula>AND($B5&lt;&gt;"",G$3="Baja")</formula>
    </cfRule>
    <cfRule type="expression" dxfId="3" priority="7">
      <formula>AND($B5&lt;&gt;"",G$3="Muerta")</formula>
    </cfRule>
  </conditionalFormatting>
  <conditionalFormatting sqref="G3:BF3">
    <cfRule type="expression" dxfId="2" priority="8">
      <formula>G$3="Alta"</formula>
    </cfRule>
    <cfRule type="expression" dxfId="1" priority="9">
      <formula>G$3="Baja"</formula>
    </cfRule>
    <cfRule type="expression" dxfId="0" priority="10">
      <formula>G$3="Muerta"</formula>
    </cfRule>
  </conditionalFormatting>
  <pageMargins left="0.75" right="0.75" top="1" bottom="1" header="0.511811023622047" footer="0.511811023622047"/>
  <pageSetup paperSize="8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Campañas</vt:lpstr>
      <vt:lpstr>Diagrama de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Alejandra Caica</cp:lastModifiedBy>
  <cp:revision>0</cp:revision>
  <dcterms:created xsi:type="dcterms:W3CDTF">2026-09-24T01:24:27Z</dcterms:created>
  <dcterms:modified xsi:type="dcterms:W3CDTF">2026-09-24T02:18:41Z</dcterms:modified>
  <dc:language>en-US</dc:language>
</cp:coreProperties>
</file>