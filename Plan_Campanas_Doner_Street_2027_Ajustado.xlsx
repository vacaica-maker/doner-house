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xmlns:r="http://schemas.openxmlformats.org/officeDocument/2006/relationships" name="Campañas" sheetId="1" state="visible" r:id="rId1"/>
    <sheet xmlns:r="http://schemas.openxmlformats.org/officeDocument/2006/relationships" name="Diagrama de Gantt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d"/>
    <numFmt numFmtId="166" formatCode="dd/mm"/>
    <numFmt numFmtId="167" formatCode="dd/mm/yyyy"/>
    <numFmt numFmtId="168" formatCode="0.0%;\-0.0%;\-"/>
  </numFmts>
  <fonts count="12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3"/>
    </font>
    <font>
      <name val="Arial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i val="1"/>
      <sz val="9"/>
    </font>
    <font>
      <name val="Arial"/>
      <family val="2"/>
      <b val="1"/>
      <sz val="8"/>
    </font>
    <font>
      <name val="Arial"/>
      <family val="2"/>
      <b val="1"/>
      <color rgb="FF0000FF"/>
      <sz val="6"/>
    </font>
    <font>
      <name val="Arial"/>
      <family val="2"/>
      <sz val="9"/>
    </font>
    <font>
      <name val="Arial"/>
      <family val="2"/>
      <sz val="11"/>
    </font>
  </fonts>
  <fills count="9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4B183"/>
        <bgColor rgb="FFE3A72F"/>
      </patternFill>
    </fill>
    <fill>
      <patternFill patternType="solid">
        <fgColor rgb="FF2E7D4F"/>
        <bgColor rgb="FF008080"/>
      </patternFill>
    </fill>
    <fill>
      <patternFill patternType="solid">
        <fgColor rgb="FFE3A72F"/>
        <bgColor rgb="FFF4B183"/>
      </patternFill>
    </fill>
    <fill>
      <patternFill patternType="solid">
        <fgColor rgb="FF5B6178"/>
        <bgColor rgb="FF808080"/>
      </patternFill>
    </fill>
    <fill>
      <patternFill patternType="solid">
        <fgColor rgb="FF4F6228"/>
        <bgColor rgb="FF333333"/>
      </patternFill>
    </fill>
    <fill>
      <patternFill patternType="solid">
        <fgColor theme="6" tint="-0.499984740745262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2" borderId="0" pivotButton="0" quotePrefix="0" xfId="0"/>
    <xf numFmtId="164" fontId="4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5" fillId="3" borderId="0" pivotButton="0" quotePrefix="0" xfId="0"/>
    <xf numFmtId="0" fontId="3" fillId="3" borderId="0" pivotButton="0" quotePrefix="0" xfId="0"/>
    <xf numFmtId="0" fontId="3" fillId="0" borderId="1" pivotButton="0" quotePrefix="0" xfId="0"/>
    <xf numFmtId="166" fontId="3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3" fillId="4" borderId="0" pivotButton="0" quotePrefix="0" xfId="0"/>
    <xf numFmtId="0" fontId="10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167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7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167" fontId="1" fillId="0" borderId="0" pivotButton="0" quotePrefix="0" xfId="0"/>
    <xf numFmtId="0" fontId="2" fillId="7" borderId="0" pivotButton="0" quotePrefix="0" xfId="0"/>
    <xf numFmtId="0" fontId="3" fillId="7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/>
    </xf>
    <xf numFmtId="167" fontId="1" fillId="0" borderId="1" applyAlignment="1" pivotButton="0" quotePrefix="0" xfId="0">
      <alignment vertical="center"/>
    </xf>
    <xf numFmtId="167" fontId="1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164" fontId="4" fillId="2" borderId="0" pivotButton="0" quotePrefix="0" xfId="0"/>
    <xf numFmtId="167" fontId="1" fillId="0" borderId="0" pivotButton="0" quotePrefix="0" xfId="0"/>
    <xf numFmtId="165" fontId="8" fillId="0" borderId="0" applyAlignment="1" pivotButton="0" quotePrefix="0" xfId="0">
      <alignment horizontal="center"/>
    </xf>
    <xf numFmtId="166" fontId="3" fillId="0" borderId="1" pivotButton="0" quotePrefix="0" xfId="0"/>
  </cellXfs>
  <cellStyles count="1">
    <cellStyle name="Normal" xfId="0" builtinId="0"/>
  </cellStyles>
  <dxfs count="9">
    <dxf>
      <font>
        <b val="1"/>
        <color rgb="FFFFFFFF"/>
      </font>
      <fill>
        <patternFill>
          <bgColor rgb="FF5B6178"/>
        </patternFill>
      </fill>
    </dxf>
    <dxf>
      <font>
        <b val="1"/>
        <color rgb="FFFFFFFF"/>
      </font>
      <fill>
        <patternFill>
          <bgColor rgb="FFE3A72F"/>
        </patternFill>
      </fill>
    </dxf>
    <dxf>
      <font>
        <b val="1"/>
        <color rgb="FFFFFFFF"/>
      </font>
      <fill>
        <patternFill>
          <bgColor rgb="FF2E7D4F"/>
        </patternFill>
      </fill>
    </dxf>
    <dxf>
      <fill>
        <patternFill>
          <bgColor rgb="FFE9EAEE"/>
        </patternFill>
      </fill>
    </dxf>
    <dxf>
      <fill>
        <patternFill>
          <bgColor rgb="FFFBF3E2"/>
        </patternFill>
      </fill>
    </dxf>
    <dxf>
      <fill>
        <patternFill>
          <bgColor rgb="FFEEF5F0"/>
        </patternFill>
      </fill>
    </dxf>
    <dxf>
      <fill>
        <patternFill>
          <bgColor rgb="FF5B6178"/>
        </patternFill>
      </fill>
    </dxf>
    <dxf>
      <fill>
        <patternFill>
          <bgColor rgb="FFE3A72F"/>
        </patternFill>
      </fill>
    </dxf>
    <dxf>
      <fill>
        <patternFill>
          <bgColor rgb="FF2E7D4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3E2"/>
      <rgbColor rgb="FFEEF5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AEE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E3A72F"/>
      <rgbColor rgb="FFFF6600"/>
      <rgbColor rgb="FF5B6178"/>
      <rgbColor rgb="FF8EA9C1"/>
      <rgbColor rgb="FF203864"/>
      <rgbColor rgb="FF2E7D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zoomScaleNormal="100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J16" sqref="J16"/>
    </sheetView>
  </sheetViews>
  <sheetFormatPr baseColWidth="10" defaultColWidth="8.7109375" defaultRowHeight="15"/>
  <cols>
    <col width="26" customWidth="1" min="1" max="1"/>
    <col width="48" customWidth="1" min="2" max="2"/>
    <col width="12" customWidth="1" min="3" max="3"/>
    <col width="11" customWidth="1" min="4" max="4"/>
    <col width="12" customWidth="1" min="5" max="8"/>
    <col width="18" customWidth="1" min="9" max="9"/>
    <col width="10" customWidth="1" min="10" max="10"/>
    <col width="70" customWidth="1" min="11" max="11"/>
  </cols>
  <sheetData>
    <row r="1" ht="16.5" customHeight="1">
      <c r="A1" s="29" t="inlineStr">
        <is>
          <t>PLAN DE CAMPAÑAS DE MARKETING 2027 — DÖNER STREET (11 CAMPAÑAS)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</row>
    <row r="3" ht="31.5" customHeight="1">
      <c r="A3" s="31" t="inlineStr">
        <is>
          <t>Área</t>
        </is>
      </c>
      <c r="B3" s="31" t="inlineStr">
        <is>
          <t>Campaña</t>
        </is>
      </c>
      <c r="C3" s="31" t="inlineStr">
        <is>
          <t>Fecha inicio</t>
        </is>
      </c>
      <c r="D3" s="31" t="inlineStr">
        <is>
          <t>Duración (días)</t>
        </is>
      </c>
      <c r="E3" s="31" t="inlineStr">
        <is>
          <t>Fecha fin</t>
        </is>
      </c>
      <c r="F3" s="31" t="inlineStr">
        <is>
          <t>Inicio 2º periodo</t>
        </is>
      </c>
      <c r="G3" s="31" t="inlineStr">
        <is>
          <t>Duración 2º periodo (días)</t>
        </is>
      </c>
      <c r="H3" s="31" t="inlineStr">
        <is>
          <t>Fin 2º periodo</t>
        </is>
      </c>
      <c r="I3" s="31" t="inlineStr">
        <is>
          <t>Costo total 2027 (COP)</t>
        </is>
      </c>
      <c r="J3" s="31" t="inlineStr">
        <is>
          <t>ROI 2027</t>
        </is>
      </c>
      <c r="K3" s="31" t="inlineStr">
        <is>
          <t>Descripción</t>
        </is>
      </c>
    </row>
    <row r="4" ht="28.5" customHeight="1">
      <c r="A4" s="2" t="inlineStr">
        <is>
          <t>LANZAMIENTO</t>
        </is>
      </c>
      <c r="B4" s="3" t="inlineStr">
        <is>
          <t>Prensa y Redes (Teaser + PR + Promo apertura)</t>
        </is>
      </c>
      <c r="C4" s="36" t="n">
        <v>46391</v>
      </c>
      <c r="D4" s="22" t="n">
        <v>21</v>
      </c>
      <c r="E4" s="37">
        <f>C4+D4</f>
        <v/>
      </c>
      <c r="F4" s="24" t="n"/>
      <c r="G4" s="24" t="n"/>
      <c r="H4" s="24" t="n"/>
      <c r="I4" s="38" t="n">
        <v>4800000</v>
      </c>
      <c r="J4" s="39" t="n">
        <v>1.25</v>
      </c>
      <c r="K4" s="27" t="inlineStr">
        <is>
          <t>Teaser en IG/TikTok, comunicado a blogs de Bogotá y semana de apertura con gaseosa gratis en combo.</t>
        </is>
      </c>
    </row>
    <row r="5" ht="28.5" customHeight="1">
      <c r="A5" s="2" t="inlineStr">
        <is>
          <t>LANZAMIENTO</t>
        </is>
      </c>
      <c r="B5" s="3" t="inlineStr">
        <is>
          <t>Volantes, degustaciones y garantía de satisfacción</t>
        </is>
      </c>
      <c r="C5" s="36" t="n">
        <v>46405</v>
      </c>
      <c r="D5" s="22" t="n">
        <v>14</v>
      </c>
      <c r="E5" s="37">
        <f>C5+D5</f>
        <v/>
      </c>
      <c r="F5" s="24" t="n"/>
      <c r="G5" s="24" t="n"/>
      <c r="H5" s="24" t="n"/>
      <c r="I5" s="38" t="n">
        <v>2000000</v>
      </c>
      <c r="J5" s="39" t="n">
        <v>3.1125</v>
      </c>
      <c r="K5" s="27" t="inlineStr">
        <is>
          <t>Volantes y degustaciones en oficinas y universidades; aviso de la garantía de satisfacción.</t>
        </is>
      </c>
    </row>
    <row r="6" ht="28.5" customHeight="1">
      <c r="A6" s="2" t="inlineStr">
        <is>
          <t>PUBLICIDAD DIGITAL</t>
        </is>
      </c>
      <c r="B6" s="3" t="inlineStr">
        <is>
          <t>Contenido orgánico IG/TikTok/Facebook</t>
        </is>
      </c>
      <c r="C6" s="36" t="n">
        <v>46391</v>
      </c>
      <c r="D6" s="24">
        <f>$C$18-C6</f>
        <v/>
      </c>
      <c r="E6" s="37">
        <f>C6+D6</f>
        <v/>
      </c>
      <c r="F6" s="24" t="n"/>
      <c r="G6" s="24" t="n"/>
      <c r="H6" s="24" t="n"/>
      <c r="I6" s="38" t="n">
        <v>4600000</v>
      </c>
      <c r="J6" s="39" t="n">
        <v>0.623</v>
      </c>
      <c r="K6" s="27" t="inlineStr">
        <is>
          <t>Publica solo martes y viernes (104 días/año), no a diario: videos de producto, detrás del mostrador y combos.</t>
        </is>
      </c>
    </row>
    <row r="7">
      <c r="A7" s="2" t="inlineStr">
        <is>
          <t>PUBLICIDAD DIGITAL</t>
        </is>
      </c>
      <c r="B7" s="3" t="inlineStr">
        <is>
          <t>Google Business Profile (SEO local)</t>
        </is>
      </c>
      <c r="C7" s="36" t="n">
        <v>46391</v>
      </c>
      <c r="D7" s="24">
        <f>$C$18-C7</f>
        <v/>
      </c>
      <c r="E7" s="37">
        <f>C7+D7</f>
        <v/>
      </c>
      <c r="F7" s="24" t="n"/>
      <c r="G7" s="24" t="n"/>
      <c r="H7" s="24" t="n"/>
      <c r="I7" s="38" t="n">
        <v>1200000</v>
      </c>
      <c r="J7" s="39" t="n">
        <v>5.4</v>
      </c>
      <c r="K7" s="27" t="inlineStr">
        <is>
          <t>Fotos, horarios, menú y solicitud de reseñas todo el año.</t>
        </is>
      </c>
    </row>
    <row r="8">
      <c r="A8" s="2" t="inlineStr">
        <is>
          <t>PUBLICIDAD DIGITAL</t>
        </is>
      </c>
      <c r="B8" s="3" t="inlineStr">
        <is>
          <t>Meta Ads pagado (geo-segmentado)</t>
        </is>
      </c>
      <c r="C8" s="36" t="n">
        <v>46405</v>
      </c>
      <c r="D8" s="24">
        <f>$C$18-C8</f>
        <v/>
      </c>
      <c r="E8" s="37">
        <f>C8+D8</f>
        <v/>
      </c>
      <c r="F8" s="24" t="n"/>
      <c r="G8" s="24" t="n"/>
      <c r="H8" s="24" t="n"/>
      <c r="I8" s="38" t="n">
        <v>24000000</v>
      </c>
      <c r="J8" s="39" t="n">
        <v>3.2667</v>
      </c>
      <c r="K8" s="27" t="inlineStr">
        <is>
          <t>Anuncios pagados en un radio alrededor de la tienda.</t>
        </is>
      </c>
    </row>
    <row r="9">
      <c r="A9" s="2" t="inlineStr">
        <is>
          <t>PUBLICIDAD DIGITAL</t>
        </is>
      </c>
      <c r="B9" s="3" t="inlineStr">
        <is>
          <t>QR en empaques/recibos + referidos</t>
        </is>
      </c>
      <c r="C9" s="36" t="n">
        <v>46433</v>
      </c>
      <c r="D9" s="24">
        <f>$C$18-C9</f>
        <v/>
      </c>
      <c r="E9" s="37">
        <f>C9+D9</f>
        <v/>
      </c>
      <c r="F9" s="24" t="n"/>
      <c r="G9" s="24" t="n"/>
      <c r="H9" s="24" t="n"/>
      <c r="I9" s="38" t="n">
        <v>8000000</v>
      </c>
      <c r="J9" s="39" t="n">
        <v>4.2727</v>
      </c>
      <c r="K9" s="27" t="inlineStr">
        <is>
          <t>QR en empaques y recibos: síguenos + 10% en la próxima compra.</t>
        </is>
      </c>
    </row>
    <row r="10">
      <c r="A10" s="2" t="inlineStr">
        <is>
          <t>DELIVERY Y FIDELIZACIÓN</t>
        </is>
      </c>
      <c r="B10" s="3" t="inlineStr">
        <is>
          <t>Almuerzos corporativos (pedidos por WhatsApp)</t>
        </is>
      </c>
      <c r="C10" s="36" t="n">
        <v>46461</v>
      </c>
      <c r="D10" s="24">
        <f>$C$18-C10</f>
        <v/>
      </c>
      <c r="E10" s="37">
        <f>C10+D10</f>
        <v/>
      </c>
      <c r="F10" s="24" t="n"/>
      <c r="G10" s="24" t="n"/>
      <c r="H10" s="24" t="n"/>
      <c r="I10" s="38" t="n">
        <v>4000000</v>
      </c>
      <c r="J10" s="39" t="n">
        <v>3.389</v>
      </c>
      <c r="K10" s="27" t="inlineStr">
        <is>
          <t>Pedidos al por mayor para oficinas cercanas por WhatsApp.</t>
        </is>
      </c>
    </row>
    <row r="11">
      <c r="A11" s="2" t="inlineStr">
        <is>
          <t>DELIVERY Y FIDELIZACIÓN</t>
        </is>
      </c>
      <c r="B11" s="3" t="inlineStr">
        <is>
          <t>Refiere y gana (papas gratis)</t>
        </is>
      </c>
      <c r="C11" s="36" t="n">
        <v>46489</v>
      </c>
      <c r="D11" s="22" t="n">
        <v>84</v>
      </c>
      <c r="E11" s="37">
        <f>C11+D11</f>
        <v/>
      </c>
      <c r="F11" s="24" t="n"/>
      <c r="G11" s="24" t="n"/>
      <c r="H11" s="24" t="n"/>
      <c r="I11" s="38" t="n">
        <v>2000000</v>
      </c>
      <c r="J11" s="39" t="n">
        <v>3.33125</v>
      </c>
      <c r="K11" s="27" t="inlineStr">
        <is>
          <t>Referido y cliente reciben papas gratis en su siguiente pedido.</t>
        </is>
      </c>
    </row>
    <row r="12">
      <c r="A12" s="2" t="inlineStr">
        <is>
          <t>FECHAS ESPECIALES</t>
        </is>
      </c>
      <c r="B12" s="3" t="inlineStr">
        <is>
          <t>San Valentín (Comparte un Döner)</t>
        </is>
      </c>
      <c r="C12" s="36" t="n">
        <v>46426</v>
      </c>
      <c r="D12" s="22" t="n">
        <v>7</v>
      </c>
      <c r="E12" s="37">
        <f>C12+D12</f>
        <v/>
      </c>
      <c r="F12" s="24" t="n"/>
      <c r="G12" s="24" t="n"/>
      <c r="H12" s="24" t="n"/>
      <c r="I12" s="38" t="n">
        <v>4300000</v>
      </c>
      <c r="J12" s="39" t="n">
        <v>1.6744</v>
      </c>
      <c r="K12" s="27" t="inlineStr">
        <is>
          <t>14 feb: 2 combos con 20% de descuento.</t>
        </is>
      </c>
    </row>
    <row r="13">
      <c r="A13" s="2" t="inlineStr">
        <is>
          <t>FECHAS ESPECIALES</t>
        </is>
      </c>
      <c r="B13" s="3" t="inlineStr">
        <is>
          <t>Navidad y fin de año (Party Pack)</t>
        </is>
      </c>
      <c r="C13" s="36" t="n">
        <v>46734</v>
      </c>
      <c r="D13" s="22" t="n">
        <v>14</v>
      </c>
      <c r="E13" s="37">
        <f>C13+D13</f>
        <v/>
      </c>
      <c r="F13" s="24" t="n"/>
      <c r="G13" s="24" t="n"/>
      <c r="H13" s="24" t="n"/>
      <c r="I13" s="38" t="n">
        <v>5300000</v>
      </c>
      <c r="J13" s="39" t="n">
        <v>3.2925</v>
      </c>
      <c r="K13" s="27" t="inlineStr">
        <is>
          <t>Party Pack para reuniones de oficina y familia.</t>
        </is>
      </c>
    </row>
    <row r="14">
      <c r="A14" s="2" t="inlineStr">
        <is>
          <t>COMUNIDAD Y ALIANZAS</t>
        </is>
      </c>
      <c r="B14" s="3" t="inlineStr">
        <is>
          <t>Semana de bienvenida universitaria</t>
        </is>
      </c>
      <c r="C14" s="36" t="n">
        <v>46419</v>
      </c>
      <c r="D14" s="22" t="n">
        <v>7</v>
      </c>
      <c r="E14" s="37">
        <f>C14+D14</f>
        <v/>
      </c>
      <c r="F14" s="36" t="n">
        <v>46601</v>
      </c>
      <c r="G14" s="22" t="n">
        <v>7</v>
      </c>
      <c r="H14" s="37">
        <f>F14+G14</f>
        <v/>
      </c>
      <c r="I14" s="38" t="n">
        <v>2000000</v>
      </c>
      <c r="J14" s="39" t="n">
        <v>2.3</v>
      </c>
      <c r="K14" s="27" t="inlineStr">
        <is>
          <t>Stand en campus con muestras gratis al inicio de cada semestre.</t>
        </is>
      </c>
    </row>
    <row r="15">
      <c r="A15" s="4" t="inlineStr">
        <is>
          <t>TOTAL</t>
        </is>
      </c>
      <c r="B15" s="4">
        <f>COUNTA(B4:B14)&amp;" campañas"</f>
        <v/>
      </c>
      <c r="C15" s="4" t="n"/>
      <c r="D15" s="4" t="n"/>
      <c r="E15" s="4" t="n"/>
      <c r="F15" s="4" t="n"/>
      <c r="G15" s="4" t="n"/>
      <c r="H15" s="4" t="n"/>
      <c r="I15" s="40">
        <f>SUM(I4:I14)</f>
        <v/>
      </c>
      <c r="J15" s="4" t="n"/>
      <c r="K15" s="4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</row>
    <row r="17">
      <c r="A17" s="32" t="n"/>
      <c r="B17" s="33" t="n"/>
      <c r="C17" s="41" t="n">
        <v>46391</v>
      </c>
      <c r="D17" s="33" t="n"/>
      <c r="E17" s="33" t="n"/>
      <c r="F17" s="33" t="n"/>
      <c r="G17" s="33" t="n"/>
      <c r="H17" s="33" t="n"/>
      <c r="I17" s="33" t="n"/>
      <c r="J17" s="33" t="n"/>
      <c r="K17" s="33" t="n"/>
    </row>
    <row r="18">
      <c r="A18" s="32" t="n"/>
      <c r="B18" s="33" t="n"/>
      <c r="C18" s="41" t="n">
        <v>46752</v>
      </c>
      <c r="D18" s="33" t="n"/>
      <c r="E18" s="33" t="n"/>
      <c r="F18" s="33" t="n"/>
      <c r="G18" s="33" t="n"/>
      <c r="H18" s="33" t="n"/>
      <c r="I18" s="33" t="n"/>
      <c r="J18" s="33" t="n"/>
      <c r="K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</row>
    <row r="20">
      <c r="A20" s="6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</row>
    <row r="21">
      <c r="A21" s="7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</row>
    <row r="22">
      <c r="A22" s="7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</row>
    <row r="23">
      <c r="A23" s="7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</row>
    <row r="24">
      <c r="A24" s="7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</row>
    <row r="25">
      <c r="A25" s="7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</row>
    <row r="26">
      <c r="A26" s="7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</row>
  </sheetData>
  <pageMargins left="0.75" right="0.75" top="1" bottom="1" header="0.511811023622047" footer="0.511811023622047"/>
  <pageSetup orientation="landscape" paperSize="8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27"/>
  <sheetViews>
    <sheetView tabSelected="1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L6" sqref="L6"/>
    </sheetView>
  </sheetViews>
  <sheetFormatPr baseColWidth="10" defaultColWidth="8.7109375" defaultRowHeight="15"/>
  <cols>
    <col width="24" customWidth="1" min="1" max="1"/>
    <col width="48" customWidth="1" min="2" max="2"/>
    <col width="7" customWidth="1" min="3" max="6"/>
    <col width="3.85546875" customWidth="1" min="7" max="58"/>
  </cols>
  <sheetData>
    <row r="1" ht="15" customHeight="1">
      <c r="A1" s="34" t="inlineStr">
        <is>
          <t>Área</t>
        </is>
      </c>
      <c r="B1" s="34" t="inlineStr">
        <is>
          <t>Campaña</t>
        </is>
      </c>
      <c r="C1" s="34" t="inlineStr">
        <is>
          <t>Inicio</t>
        </is>
      </c>
      <c r="D1" s="34" t="inlineStr">
        <is>
          <t>Fin</t>
        </is>
      </c>
      <c r="E1" s="34" t="inlineStr">
        <is>
          <t>Inicio 2</t>
        </is>
      </c>
      <c r="F1" s="34" t="inlineStr">
        <is>
          <t>Fin 2</t>
        </is>
      </c>
      <c r="G1" s="35" t="inlineStr">
        <is>
          <t>Enero</t>
        </is>
      </c>
      <c r="K1" s="35" t="inlineStr">
        <is>
          <t>Febrero</t>
        </is>
      </c>
      <c r="O1" s="35" t="inlineStr">
        <is>
          <t>Marzo</t>
        </is>
      </c>
      <c r="T1" s="35" t="inlineStr">
        <is>
          <t>Abril</t>
        </is>
      </c>
      <c r="X1" s="35" t="inlineStr">
        <is>
          <t>Mayo</t>
        </is>
      </c>
      <c r="AC1" s="35" t="inlineStr">
        <is>
          <t>Junio</t>
        </is>
      </c>
      <c r="AG1" s="35" t="inlineStr">
        <is>
          <t>Julio</t>
        </is>
      </c>
      <c r="AK1" s="35" t="inlineStr">
        <is>
          <t>Agosto</t>
        </is>
      </c>
      <c r="AP1" s="35" t="inlineStr">
        <is>
          <t>Septiembre</t>
        </is>
      </c>
      <c r="AT1" s="35" t="inlineStr">
        <is>
          <t>Octubre</t>
        </is>
      </c>
      <c r="AX1" s="35" t="inlineStr">
        <is>
          <t>Noviembre</t>
        </is>
      </c>
      <c r="BC1" s="35" t="inlineStr">
        <is>
          <t>Diciembre</t>
        </is>
      </c>
    </row>
    <row r="2">
      <c r="G2" s="42" t="n">
        <v>46391</v>
      </c>
      <c r="H2" s="42" t="n">
        <v>46398</v>
      </c>
      <c r="I2" s="42" t="n">
        <v>46405</v>
      </c>
      <c r="J2" s="42" t="n">
        <v>46412</v>
      </c>
      <c r="K2" s="42" t="n">
        <v>46419</v>
      </c>
      <c r="L2" s="42" t="n">
        <v>46426</v>
      </c>
      <c r="M2" s="42" t="n">
        <v>46433</v>
      </c>
      <c r="N2" s="42" t="n">
        <v>46440</v>
      </c>
      <c r="O2" s="42" t="n">
        <v>46447</v>
      </c>
      <c r="P2" s="42" t="n">
        <v>46454</v>
      </c>
      <c r="Q2" s="42" t="n">
        <v>46461</v>
      </c>
      <c r="R2" s="42" t="n">
        <v>46468</v>
      </c>
      <c r="S2" s="42" t="n">
        <v>46475</v>
      </c>
      <c r="T2" s="42" t="n">
        <v>46482</v>
      </c>
      <c r="U2" s="42" t="n">
        <v>46489</v>
      </c>
      <c r="V2" s="42" t="n">
        <v>46496</v>
      </c>
      <c r="W2" s="42" t="n">
        <v>46503</v>
      </c>
      <c r="X2" s="42" t="n">
        <v>46510</v>
      </c>
      <c r="Y2" s="42" t="n">
        <v>46517</v>
      </c>
      <c r="Z2" s="42" t="n">
        <v>46524</v>
      </c>
      <c r="AA2" s="42" t="n">
        <v>46531</v>
      </c>
      <c r="AB2" s="42" t="n">
        <v>46538</v>
      </c>
      <c r="AC2" s="42" t="n">
        <v>46545</v>
      </c>
      <c r="AD2" s="42" t="n">
        <v>46552</v>
      </c>
      <c r="AE2" s="42" t="n">
        <v>46559</v>
      </c>
      <c r="AF2" s="42" t="n">
        <v>46566</v>
      </c>
      <c r="AG2" s="42" t="n">
        <v>46573</v>
      </c>
      <c r="AH2" s="42" t="n">
        <v>46580</v>
      </c>
      <c r="AI2" s="42" t="n">
        <v>46587</v>
      </c>
      <c r="AJ2" s="42" t="n">
        <v>46594</v>
      </c>
      <c r="AK2" s="42" t="n">
        <v>46601</v>
      </c>
      <c r="AL2" s="42" t="n">
        <v>46608</v>
      </c>
      <c r="AM2" s="42" t="n">
        <v>46615</v>
      </c>
      <c r="AN2" s="42" t="n">
        <v>46622</v>
      </c>
      <c r="AO2" s="42" t="n">
        <v>46629</v>
      </c>
      <c r="AP2" s="42" t="n">
        <v>46636</v>
      </c>
      <c r="AQ2" s="42" t="n">
        <v>46643</v>
      </c>
      <c r="AR2" s="42" t="n">
        <v>46650</v>
      </c>
      <c r="AS2" s="42" t="n">
        <v>46657</v>
      </c>
      <c r="AT2" s="42" t="n">
        <v>46664</v>
      </c>
      <c r="AU2" s="42" t="n">
        <v>46671</v>
      </c>
      <c r="AV2" s="42" t="n">
        <v>46678</v>
      </c>
      <c r="AW2" s="42" t="n">
        <v>46685</v>
      </c>
      <c r="AX2" s="42" t="n">
        <v>46692</v>
      </c>
      <c r="AY2" s="42" t="n">
        <v>46699</v>
      </c>
      <c r="AZ2" s="42" t="n">
        <v>46706</v>
      </c>
      <c r="BA2" s="42" t="n">
        <v>46713</v>
      </c>
      <c r="BB2" s="42" t="n">
        <v>46720</v>
      </c>
      <c r="BC2" s="42" t="n">
        <v>46727</v>
      </c>
      <c r="BD2" s="42" t="n">
        <v>46734</v>
      </c>
      <c r="BE2" s="42" t="n">
        <v>46741</v>
      </c>
      <c r="BF2" s="42" t="n">
        <v>46748</v>
      </c>
    </row>
    <row r="3">
      <c r="A3" s="7" t="inlineStr">
        <is>
          <t>Temporada de cada semana (editable)</t>
        </is>
      </c>
      <c r="B3" s="33" t="n"/>
      <c r="C3" s="33" t="n"/>
      <c r="D3" s="33" t="n"/>
      <c r="E3" s="33" t="n"/>
      <c r="F3" s="33" t="n"/>
      <c r="G3" s="9" t="inlineStr">
        <is>
          <t>Baja</t>
        </is>
      </c>
      <c r="H3" s="9" t="inlineStr">
        <is>
          <t>Baja</t>
        </is>
      </c>
      <c r="I3" s="9" t="inlineStr">
        <is>
          <t>Baja</t>
        </is>
      </c>
      <c r="J3" s="9" t="inlineStr">
        <is>
          <t>Baja</t>
        </is>
      </c>
      <c r="K3" s="9" t="inlineStr">
        <is>
          <t>Alta</t>
        </is>
      </c>
      <c r="L3" s="9" t="inlineStr">
        <is>
          <t>Alta</t>
        </is>
      </c>
      <c r="M3" s="9" t="inlineStr">
        <is>
          <t>Alta</t>
        </is>
      </c>
      <c r="N3" s="9" t="inlineStr">
        <is>
          <t>Alta</t>
        </is>
      </c>
      <c r="O3" s="9" t="inlineStr">
        <is>
          <t>Alta</t>
        </is>
      </c>
      <c r="P3" s="9" t="inlineStr">
        <is>
          <t>Alta</t>
        </is>
      </c>
      <c r="Q3" s="9" t="inlineStr">
        <is>
          <t>Alta</t>
        </is>
      </c>
      <c r="R3" s="9" t="inlineStr">
        <is>
          <t>Muerta</t>
        </is>
      </c>
      <c r="S3" s="9" t="inlineStr">
        <is>
          <t>Alta</t>
        </is>
      </c>
      <c r="T3" s="9" t="inlineStr">
        <is>
          <t>Alta</t>
        </is>
      </c>
      <c r="U3" s="9" t="inlineStr">
        <is>
          <t>Alta</t>
        </is>
      </c>
      <c r="V3" s="9" t="inlineStr">
        <is>
          <t>Alta</t>
        </is>
      </c>
      <c r="W3" s="9" t="inlineStr">
        <is>
          <t>Alta</t>
        </is>
      </c>
      <c r="X3" s="9" t="inlineStr">
        <is>
          <t>Alta</t>
        </is>
      </c>
      <c r="Y3" s="9" t="inlineStr">
        <is>
          <t>Alta</t>
        </is>
      </c>
      <c r="Z3" s="9" t="inlineStr">
        <is>
          <t>Alta</t>
        </is>
      </c>
      <c r="AA3" s="9" t="inlineStr">
        <is>
          <t>Alta</t>
        </is>
      </c>
      <c r="AB3" s="9" t="inlineStr">
        <is>
          <t>Alta</t>
        </is>
      </c>
      <c r="AC3" s="9" t="inlineStr">
        <is>
          <t>Baja</t>
        </is>
      </c>
      <c r="AD3" s="9" t="inlineStr">
        <is>
          <t>Baja</t>
        </is>
      </c>
      <c r="AE3" s="9" t="inlineStr">
        <is>
          <t>Baja</t>
        </is>
      </c>
      <c r="AF3" s="9" t="inlineStr">
        <is>
          <t>Muerta</t>
        </is>
      </c>
      <c r="AG3" s="9" t="inlineStr">
        <is>
          <t>Muerta</t>
        </is>
      </c>
      <c r="AH3" s="9" t="inlineStr">
        <is>
          <t>Baja</t>
        </is>
      </c>
      <c r="AI3" s="9" t="inlineStr">
        <is>
          <t>Baja</t>
        </is>
      </c>
      <c r="AJ3" s="9" t="inlineStr">
        <is>
          <t>Baja</t>
        </is>
      </c>
      <c r="AK3" s="9" t="inlineStr">
        <is>
          <t>Alta</t>
        </is>
      </c>
      <c r="AL3" s="9" t="inlineStr">
        <is>
          <t>Alta</t>
        </is>
      </c>
      <c r="AM3" s="9" t="inlineStr">
        <is>
          <t>Alta</t>
        </is>
      </c>
      <c r="AN3" s="9" t="inlineStr">
        <is>
          <t>Alta</t>
        </is>
      </c>
      <c r="AO3" s="9" t="inlineStr">
        <is>
          <t>Alta</t>
        </is>
      </c>
      <c r="AP3" s="9" t="inlineStr">
        <is>
          <t>Alta</t>
        </is>
      </c>
      <c r="AQ3" s="9" t="inlineStr">
        <is>
          <t>Alta</t>
        </is>
      </c>
      <c r="AR3" s="9" t="inlineStr">
        <is>
          <t>Alta</t>
        </is>
      </c>
      <c r="AS3" s="9" t="inlineStr">
        <is>
          <t>Alta</t>
        </is>
      </c>
      <c r="AT3" s="9" t="inlineStr">
        <is>
          <t>Alta</t>
        </is>
      </c>
      <c r="AU3" s="9" t="inlineStr">
        <is>
          <t>Alta</t>
        </is>
      </c>
      <c r="AV3" s="9" t="inlineStr">
        <is>
          <t>Alta</t>
        </is>
      </c>
      <c r="AW3" s="9" t="inlineStr">
        <is>
          <t>Alta</t>
        </is>
      </c>
      <c r="AX3" s="9" t="inlineStr">
        <is>
          <t>Alta</t>
        </is>
      </c>
      <c r="AY3" s="9" t="inlineStr">
        <is>
          <t>Alta</t>
        </is>
      </c>
      <c r="AZ3" s="9" t="inlineStr">
        <is>
          <t>Alta</t>
        </is>
      </c>
      <c r="BA3" s="9" t="inlineStr">
        <is>
          <t>Alta</t>
        </is>
      </c>
      <c r="BB3" s="9" t="inlineStr">
        <is>
          <t>Baja</t>
        </is>
      </c>
      <c r="BC3" s="9" t="inlineStr">
        <is>
          <t>Baja</t>
        </is>
      </c>
      <c r="BD3" s="9" t="inlineStr">
        <is>
          <t>Baja</t>
        </is>
      </c>
      <c r="BE3" s="9" t="inlineStr">
        <is>
          <t>Muerta</t>
        </is>
      </c>
      <c r="BF3" s="9" t="inlineStr">
        <is>
          <t>Muerta</t>
        </is>
      </c>
    </row>
    <row r="4">
      <c r="A4" s="10" t="inlineStr">
        <is>
          <t>LANZAMIENTO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</row>
    <row r="5">
      <c r="A5" s="12" t="n"/>
      <c r="B5" s="12">
        <f>Campañas!B4</f>
        <v/>
      </c>
      <c r="C5" s="43">
        <f>Campañas!C4</f>
        <v/>
      </c>
      <c r="D5" s="43">
        <f>Campañas!E4</f>
        <v/>
      </c>
      <c r="E5" s="43">
        <f>IF(Campañas!F4="","",Campañas!F4)</f>
        <v/>
      </c>
      <c r="F5" s="43">
        <f>IF(Campañas!H4="","",Campañas!H4)</f>
        <v/>
      </c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  <c r="AW5" s="33" t="n"/>
      <c r="AX5" s="33" t="n"/>
      <c r="AY5" s="33" t="n"/>
      <c r="AZ5" s="33" t="n"/>
      <c r="BA5" s="33" t="n"/>
      <c r="BB5" s="33" t="n"/>
      <c r="BC5" s="33" t="n"/>
      <c r="BD5" s="33" t="n"/>
      <c r="BE5" s="33" t="n"/>
      <c r="BF5" s="33" t="n"/>
    </row>
    <row r="6">
      <c r="A6" s="12" t="n"/>
      <c r="B6" s="12">
        <f>Campañas!B5</f>
        <v/>
      </c>
      <c r="C6" s="43">
        <f>Campañas!C5</f>
        <v/>
      </c>
      <c r="D6" s="43">
        <f>Campañas!E5</f>
        <v/>
      </c>
      <c r="E6" s="43">
        <f>IF(Campañas!F5="","",Campañas!F5)</f>
        <v/>
      </c>
      <c r="F6" s="43">
        <f>IF(Campañas!H5="","",Campañas!H5)</f>
        <v/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  <c r="AW6" s="33" t="n"/>
      <c r="AX6" s="33" t="n"/>
      <c r="AY6" s="33" t="n"/>
      <c r="AZ6" s="33" t="n"/>
      <c r="BA6" s="33" t="n"/>
      <c r="BB6" s="33" t="n"/>
      <c r="BC6" s="33" t="n"/>
      <c r="BD6" s="33" t="n"/>
      <c r="BE6" s="33" t="n"/>
      <c r="BF6" s="33" t="n"/>
    </row>
    <row r="7">
      <c r="A7" s="10" t="inlineStr">
        <is>
          <t>PUBLICIDAD DIGITAL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</row>
    <row r="8">
      <c r="A8" s="12" t="n"/>
      <c r="B8" s="12">
        <f>Campañas!B6</f>
        <v/>
      </c>
      <c r="C8" s="43">
        <f>Campañas!C6</f>
        <v/>
      </c>
      <c r="D8" s="43">
        <f>Campañas!E6</f>
        <v/>
      </c>
      <c r="E8" s="43">
        <f>IF(Campañas!F6="","",Campañas!F6)</f>
        <v/>
      </c>
      <c r="F8" s="43">
        <f>IF(Campañas!H6="","",Campañas!H6)</f>
        <v/>
      </c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</row>
    <row r="9">
      <c r="A9" s="12" t="n"/>
      <c r="B9" s="12">
        <f>Campañas!B7</f>
        <v/>
      </c>
      <c r="C9" s="43">
        <f>Campañas!C7</f>
        <v/>
      </c>
      <c r="D9" s="43">
        <f>Campañas!E7</f>
        <v/>
      </c>
      <c r="E9" s="43">
        <f>IF(Campañas!F7="","",Campañas!F7)</f>
        <v/>
      </c>
      <c r="F9" s="43">
        <f>IF(Campañas!H7="","",Campañas!H7)</f>
        <v/>
      </c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</row>
    <row r="10">
      <c r="A10" s="12" t="n"/>
      <c r="B10" s="12">
        <f>Campañas!B8</f>
        <v/>
      </c>
      <c r="C10" s="43">
        <f>Campañas!C8</f>
        <v/>
      </c>
      <c r="D10" s="43">
        <f>Campañas!E8</f>
        <v/>
      </c>
      <c r="E10" s="43">
        <f>IF(Campañas!F8="","",Campañas!F8)</f>
        <v/>
      </c>
      <c r="F10" s="43">
        <f>IF(Campañas!H8="","",Campañas!H8)</f>
        <v/>
      </c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33" t="n"/>
      <c r="AI10" s="33" t="n"/>
      <c r="AJ10" s="33" t="n"/>
      <c r="AK10" s="33" t="n"/>
      <c r="AL10" s="33" t="n"/>
      <c r="AM10" s="33" t="n"/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  <c r="AW10" s="33" t="n"/>
      <c r="AX10" s="33" t="n"/>
      <c r="AY10" s="33" t="n"/>
      <c r="AZ10" s="33" t="n"/>
      <c r="BA10" s="33" t="n"/>
      <c r="BB10" s="33" t="n"/>
      <c r="BC10" s="33" t="n"/>
      <c r="BD10" s="33" t="n"/>
      <c r="BE10" s="33" t="n"/>
      <c r="BF10" s="33" t="n"/>
    </row>
    <row r="11">
      <c r="A11" s="12" t="n"/>
      <c r="B11" s="12">
        <f>Campañas!B9</f>
        <v/>
      </c>
      <c r="C11" s="43">
        <f>Campañas!C9</f>
        <v/>
      </c>
      <c r="D11" s="43">
        <f>Campañas!E9</f>
        <v/>
      </c>
      <c r="E11" s="43">
        <f>IF(Campañas!F9="","",Campañas!F9)</f>
        <v/>
      </c>
      <c r="F11" s="43">
        <f>IF(Campañas!H9="","",Campañas!H9)</f>
        <v/>
      </c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 t="n"/>
      <c r="AX11" s="33" t="n"/>
      <c r="AY11" s="33" t="n"/>
      <c r="AZ11" s="33" t="n"/>
      <c r="BA11" s="33" t="n"/>
      <c r="BB11" s="33" t="n"/>
      <c r="BC11" s="33" t="n"/>
      <c r="BD11" s="33" t="n"/>
      <c r="BE11" s="33" t="n"/>
      <c r="BF11" s="33" t="n"/>
    </row>
    <row r="12">
      <c r="A12" s="10" t="inlineStr">
        <is>
          <t>DELIVERY Y FIDELIZACIÓN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</row>
    <row r="13">
      <c r="A13" s="12" t="n"/>
      <c r="B13" s="12">
        <f>Campañas!B10</f>
        <v/>
      </c>
      <c r="C13" s="43">
        <f>Campañas!C10</f>
        <v/>
      </c>
      <c r="D13" s="43">
        <f>Campañas!E10</f>
        <v/>
      </c>
      <c r="E13" s="43">
        <f>IF(Campañas!F10="","",Campañas!F10)</f>
        <v/>
      </c>
      <c r="F13" s="43">
        <f>IF(Campañas!H10="","",Campañas!H10)</f>
        <v/>
      </c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</row>
    <row r="14">
      <c r="A14" s="12" t="n"/>
      <c r="B14" s="12">
        <f>Campañas!B11</f>
        <v/>
      </c>
      <c r="C14" s="43">
        <f>Campañas!C11</f>
        <v/>
      </c>
      <c r="D14" s="43">
        <f>Campañas!E11</f>
        <v/>
      </c>
      <c r="E14" s="43">
        <f>IF(Campañas!F11="","",Campañas!F11)</f>
        <v/>
      </c>
      <c r="F14" s="43">
        <f>IF(Campañas!H11="","",Campañas!H11)</f>
        <v/>
      </c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</row>
    <row r="15">
      <c r="A15" s="10" t="inlineStr">
        <is>
          <t>FECHAS ESPECIALES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</row>
    <row r="16">
      <c r="A16" s="12" t="n"/>
      <c r="B16" s="12">
        <f>Campañas!B12</f>
        <v/>
      </c>
      <c r="C16" s="43">
        <f>Campañas!C12</f>
        <v/>
      </c>
      <c r="D16" s="43">
        <f>Campañas!E12</f>
        <v/>
      </c>
      <c r="E16" s="43">
        <f>IF(Campañas!F12="","",Campañas!F12)</f>
        <v/>
      </c>
      <c r="F16" s="43">
        <f>IF(Campañas!H12="","",Campañas!H12)</f>
        <v/>
      </c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</row>
    <row r="17">
      <c r="A17" s="12" t="n"/>
      <c r="B17" s="12">
        <f>Campañas!B13</f>
        <v/>
      </c>
      <c r="C17" s="43">
        <f>Campañas!C13</f>
        <v/>
      </c>
      <c r="D17" s="43">
        <f>Campañas!E13</f>
        <v/>
      </c>
      <c r="E17" s="43">
        <f>IF(Campañas!F13="","",Campañas!F13)</f>
        <v/>
      </c>
      <c r="F17" s="43">
        <f>IF(Campañas!H13="","",Campañas!H13)</f>
        <v/>
      </c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</row>
    <row r="18">
      <c r="A18" s="10" t="inlineStr">
        <is>
          <t>COMUNIDAD Y ALIANZAS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</row>
    <row r="19">
      <c r="A19" s="12" t="n"/>
      <c r="B19" s="12">
        <f>Campañas!B14</f>
        <v/>
      </c>
      <c r="C19" s="43">
        <f>Campañas!C14</f>
        <v/>
      </c>
      <c r="D19" s="43">
        <f>Campañas!E14</f>
        <v/>
      </c>
      <c r="E19" s="43">
        <f>IF(Campañas!F14="","",Campañas!F14)</f>
        <v/>
      </c>
      <c r="F19" s="43">
        <f>IF(Campañas!H14="","",Campañas!H14)</f>
        <v/>
      </c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  <c r="BC20" s="33" t="n"/>
      <c r="BD20" s="33" t="n"/>
      <c r="BE20" s="33" t="n"/>
      <c r="BF20" s="33" t="n"/>
    </row>
    <row r="21">
      <c r="A21" s="33" t="n"/>
      <c r="B21" s="32" t="n"/>
      <c r="C21" s="33" t="n"/>
      <c r="D21" s="33" t="n"/>
      <c r="E21" s="33" t="n"/>
      <c r="F21" s="33" t="n"/>
      <c r="G21" s="16">
        <f>SUMPRODUCT(($B$5:$B$19&lt;&gt;"")*(((G$2&lt;$D$5:$D$19)*(G$2+7&gt;$C$5:$C$19))+(($E$5:$E$19&lt;&gt;"")*(G$2&lt;N(+$F$5:$F$19))*(G$2+7&gt;N(+$E$5:$E$19)))&gt;0))</f>
        <v/>
      </c>
      <c r="H21" s="16">
        <f>SUMPRODUCT(($B$5:$B$19&lt;&gt;"")*(((H$2&lt;$D$5:$D$19)*(H$2+7&gt;$C$5:$C$19))+(($E$5:$E$19&lt;&gt;"")*(H$2&lt;N(+$F$5:$F$19))*(H$2+7&gt;N(+$E$5:$E$19)))&gt;0))</f>
        <v/>
      </c>
      <c r="I21" s="16">
        <f>SUMPRODUCT(($B$5:$B$19&lt;&gt;"")*(((I$2&lt;$D$5:$D$19)*(I$2+7&gt;$C$5:$C$19))+(($E$5:$E$19&lt;&gt;"")*(I$2&lt;N(+$F$5:$F$19))*(I$2+7&gt;N(+$E$5:$E$19)))&gt;0))</f>
        <v/>
      </c>
      <c r="J21" s="16">
        <f>SUMPRODUCT(($B$5:$B$19&lt;&gt;"")*(((J$2&lt;$D$5:$D$19)*(J$2+7&gt;$C$5:$C$19))+(($E$5:$E$19&lt;&gt;"")*(J$2&lt;N(+$F$5:$F$19))*(J$2+7&gt;N(+$E$5:$E$19)))&gt;0))</f>
        <v/>
      </c>
      <c r="K21" s="16">
        <f>SUMPRODUCT(($B$5:$B$19&lt;&gt;"")*(((K$2&lt;$D$5:$D$19)*(K$2+7&gt;$C$5:$C$19))+(($E$5:$E$19&lt;&gt;"")*(K$2&lt;N(+$F$5:$F$19))*(K$2+7&gt;N(+$E$5:$E$19)))&gt;0))</f>
        <v/>
      </c>
      <c r="L21" s="16">
        <f>SUMPRODUCT(($B$5:$B$19&lt;&gt;"")*(((L$2&lt;$D$5:$D$19)*(L$2+7&gt;$C$5:$C$19))+(($E$5:$E$19&lt;&gt;"")*(L$2&lt;N(+$F$5:$F$19))*(L$2+7&gt;N(+$E$5:$E$19)))&gt;0))</f>
        <v/>
      </c>
      <c r="M21" s="16">
        <f>SUMPRODUCT(($B$5:$B$19&lt;&gt;"")*(((M$2&lt;$D$5:$D$19)*(M$2+7&gt;$C$5:$C$19))+(($E$5:$E$19&lt;&gt;"")*(M$2&lt;N(+$F$5:$F$19))*(M$2+7&gt;N(+$E$5:$E$19)))&gt;0))</f>
        <v/>
      </c>
      <c r="N21" s="16">
        <f>SUMPRODUCT(($B$5:$B$19&lt;&gt;"")*(((N$2&lt;$D$5:$D$19)*(N$2+7&gt;$C$5:$C$19))+(($E$5:$E$19&lt;&gt;"")*(N$2&lt;N(+$F$5:$F$19))*(N$2+7&gt;N(+$E$5:$E$19)))&gt;0))</f>
        <v/>
      </c>
      <c r="O21" s="16">
        <f>SUMPRODUCT(($B$5:$B$19&lt;&gt;"")*(((O$2&lt;$D$5:$D$19)*(O$2+7&gt;$C$5:$C$19))+(($E$5:$E$19&lt;&gt;"")*(O$2&lt;N(+$F$5:$F$19))*(O$2+7&gt;N(+$E$5:$E$19)))&gt;0))</f>
        <v/>
      </c>
      <c r="P21" s="16">
        <f>SUMPRODUCT(($B$5:$B$19&lt;&gt;"")*(((P$2&lt;$D$5:$D$19)*(P$2+7&gt;$C$5:$C$19))+(($E$5:$E$19&lt;&gt;"")*(P$2&lt;N(+$F$5:$F$19))*(P$2+7&gt;N(+$E$5:$E$19)))&gt;0))</f>
        <v/>
      </c>
      <c r="Q21" s="16">
        <f>SUMPRODUCT(($B$5:$B$19&lt;&gt;"")*(((Q$2&lt;$D$5:$D$19)*(Q$2+7&gt;$C$5:$C$19))+(($E$5:$E$19&lt;&gt;"")*(Q$2&lt;N(+$F$5:$F$19))*(Q$2+7&gt;N(+$E$5:$E$19)))&gt;0))</f>
        <v/>
      </c>
      <c r="R21" s="16">
        <f>SUMPRODUCT(($B$5:$B$19&lt;&gt;"")*(((R$2&lt;$D$5:$D$19)*(R$2+7&gt;$C$5:$C$19))+(($E$5:$E$19&lt;&gt;"")*(R$2&lt;N(+$F$5:$F$19))*(R$2+7&gt;N(+$E$5:$E$19)))&gt;0))</f>
        <v/>
      </c>
      <c r="S21" s="16">
        <f>SUMPRODUCT(($B$5:$B$19&lt;&gt;"")*(((S$2&lt;$D$5:$D$19)*(S$2+7&gt;$C$5:$C$19))+(($E$5:$E$19&lt;&gt;"")*(S$2&lt;N(+$F$5:$F$19))*(S$2+7&gt;N(+$E$5:$E$19)))&gt;0))</f>
        <v/>
      </c>
      <c r="T21" s="16">
        <f>SUMPRODUCT(($B$5:$B$19&lt;&gt;"")*(((T$2&lt;$D$5:$D$19)*(T$2+7&gt;$C$5:$C$19))+(($E$5:$E$19&lt;&gt;"")*(T$2&lt;N(+$F$5:$F$19))*(T$2+7&gt;N(+$E$5:$E$19)))&gt;0))</f>
        <v/>
      </c>
      <c r="U21" s="16">
        <f>SUMPRODUCT(($B$5:$B$19&lt;&gt;"")*(((U$2&lt;$D$5:$D$19)*(U$2+7&gt;$C$5:$C$19))+(($E$5:$E$19&lt;&gt;"")*(U$2&lt;N(+$F$5:$F$19))*(U$2+7&gt;N(+$E$5:$E$19)))&gt;0))</f>
        <v/>
      </c>
      <c r="V21" s="16">
        <f>SUMPRODUCT(($B$5:$B$19&lt;&gt;"")*(((V$2&lt;$D$5:$D$19)*(V$2+7&gt;$C$5:$C$19))+(($E$5:$E$19&lt;&gt;"")*(V$2&lt;N(+$F$5:$F$19))*(V$2+7&gt;N(+$E$5:$E$19)))&gt;0))</f>
        <v/>
      </c>
      <c r="W21" s="16">
        <f>SUMPRODUCT(($B$5:$B$19&lt;&gt;"")*(((W$2&lt;$D$5:$D$19)*(W$2+7&gt;$C$5:$C$19))+(($E$5:$E$19&lt;&gt;"")*(W$2&lt;N(+$F$5:$F$19))*(W$2+7&gt;N(+$E$5:$E$19)))&gt;0))</f>
        <v/>
      </c>
      <c r="X21" s="16">
        <f>SUMPRODUCT(($B$5:$B$19&lt;&gt;"")*(((X$2&lt;$D$5:$D$19)*(X$2+7&gt;$C$5:$C$19))+(($E$5:$E$19&lt;&gt;"")*(X$2&lt;N(+$F$5:$F$19))*(X$2+7&gt;N(+$E$5:$E$19)))&gt;0))</f>
        <v/>
      </c>
      <c r="Y21" s="16">
        <f>SUMPRODUCT(($B$5:$B$19&lt;&gt;"")*(((Y$2&lt;$D$5:$D$19)*(Y$2+7&gt;$C$5:$C$19))+(($E$5:$E$19&lt;&gt;"")*(Y$2&lt;N(+$F$5:$F$19))*(Y$2+7&gt;N(+$E$5:$E$19)))&gt;0))</f>
        <v/>
      </c>
      <c r="Z21" s="16">
        <f>SUMPRODUCT(($B$5:$B$19&lt;&gt;"")*(((Z$2&lt;$D$5:$D$19)*(Z$2+7&gt;$C$5:$C$19))+(($E$5:$E$19&lt;&gt;"")*(Z$2&lt;N(+$F$5:$F$19))*(Z$2+7&gt;N(+$E$5:$E$19)))&gt;0))</f>
        <v/>
      </c>
      <c r="AA21" s="16">
        <f>SUMPRODUCT(($B$5:$B$19&lt;&gt;"")*(((AA$2&lt;$D$5:$D$19)*(AA$2+7&gt;$C$5:$C$19))+(($E$5:$E$19&lt;&gt;"")*(AA$2&lt;N(+$F$5:$F$19))*(AA$2+7&gt;N(+$E$5:$E$19)))&gt;0))</f>
        <v/>
      </c>
      <c r="AB21" s="16">
        <f>SUMPRODUCT(($B$5:$B$19&lt;&gt;"")*(((AB$2&lt;$D$5:$D$19)*(AB$2+7&gt;$C$5:$C$19))+(($E$5:$E$19&lt;&gt;"")*(AB$2&lt;N(+$F$5:$F$19))*(AB$2+7&gt;N(+$E$5:$E$19)))&gt;0))</f>
        <v/>
      </c>
      <c r="AC21" s="16">
        <f>SUMPRODUCT(($B$5:$B$19&lt;&gt;"")*(((AC$2&lt;$D$5:$D$19)*(AC$2+7&gt;$C$5:$C$19))+(($E$5:$E$19&lt;&gt;"")*(AC$2&lt;N(+$F$5:$F$19))*(AC$2+7&gt;N(+$E$5:$E$19)))&gt;0))</f>
        <v/>
      </c>
      <c r="AD21" s="16">
        <f>SUMPRODUCT(($B$5:$B$19&lt;&gt;"")*(((AD$2&lt;$D$5:$D$19)*(AD$2+7&gt;$C$5:$C$19))+(($E$5:$E$19&lt;&gt;"")*(AD$2&lt;N(+$F$5:$F$19))*(AD$2+7&gt;N(+$E$5:$E$19)))&gt;0))</f>
        <v/>
      </c>
      <c r="AE21" s="16">
        <f>SUMPRODUCT(($B$5:$B$19&lt;&gt;"")*(((AE$2&lt;$D$5:$D$19)*(AE$2+7&gt;$C$5:$C$19))+(($E$5:$E$19&lt;&gt;"")*(AE$2&lt;N(+$F$5:$F$19))*(AE$2+7&gt;N(+$E$5:$E$19)))&gt;0))</f>
        <v/>
      </c>
      <c r="AF21" s="16">
        <f>SUMPRODUCT(($B$5:$B$19&lt;&gt;"")*(((AF$2&lt;$D$5:$D$19)*(AF$2+7&gt;$C$5:$C$19))+(($E$5:$E$19&lt;&gt;"")*(AF$2&lt;N(+$F$5:$F$19))*(AF$2+7&gt;N(+$E$5:$E$19)))&gt;0))</f>
        <v/>
      </c>
      <c r="AG21" s="16">
        <f>SUMPRODUCT(($B$5:$B$19&lt;&gt;"")*(((AG$2&lt;$D$5:$D$19)*(AG$2+7&gt;$C$5:$C$19))+(($E$5:$E$19&lt;&gt;"")*(AG$2&lt;N(+$F$5:$F$19))*(AG$2+7&gt;N(+$E$5:$E$19)))&gt;0))</f>
        <v/>
      </c>
      <c r="AH21" s="16">
        <f>SUMPRODUCT(($B$5:$B$19&lt;&gt;"")*(((AH$2&lt;$D$5:$D$19)*(AH$2+7&gt;$C$5:$C$19))+(($E$5:$E$19&lt;&gt;"")*(AH$2&lt;N(+$F$5:$F$19))*(AH$2+7&gt;N(+$E$5:$E$19)))&gt;0))</f>
        <v/>
      </c>
      <c r="AI21" s="16">
        <f>SUMPRODUCT(($B$5:$B$19&lt;&gt;"")*(((AI$2&lt;$D$5:$D$19)*(AI$2+7&gt;$C$5:$C$19))+(($E$5:$E$19&lt;&gt;"")*(AI$2&lt;N(+$F$5:$F$19))*(AI$2+7&gt;N(+$E$5:$E$19)))&gt;0))</f>
        <v/>
      </c>
      <c r="AJ21" s="16">
        <f>SUMPRODUCT(($B$5:$B$19&lt;&gt;"")*(((AJ$2&lt;$D$5:$D$19)*(AJ$2+7&gt;$C$5:$C$19))+(($E$5:$E$19&lt;&gt;"")*(AJ$2&lt;N(+$F$5:$F$19))*(AJ$2+7&gt;N(+$E$5:$E$19)))&gt;0))</f>
        <v/>
      </c>
      <c r="AK21" s="16">
        <f>SUMPRODUCT(($B$5:$B$19&lt;&gt;"")*(((AK$2&lt;$D$5:$D$19)*(AK$2+7&gt;$C$5:$C$19))+(($E$5:$E$19&lt;&gt;"")*(AK$2&lt;N(+$F$5:$F$19))*(AK$2+7&gt;N(+$E$5:$E$19)))&gt;0))</f>
        <v/>
      </c>
      <c r="AL21" s="16">
        <f>SUMPRODUCT(($B$5:$B$19&lt;&gt;"")*(((AL$2&lt;$D$5:$D$19)*(AL$2+7&gt;$C$5:$C$19))+(($E$5:$E$19&lt;&gt;"")*(AL$2&lt;N(+$F$5:$F$19))*(AL$2+7&gt;N(+$E$5:$E$19)))&gt;0))</f>
        <v/>
      </c>
      <c r="AM21" s="16">
        <f>SUMPRODUCT(($B$5:$B$19&lt;&gt;"")*(((AM$2&lt;$D$5:$D$19)*(AM$2+7&gt;$C$5:$C$19))+(($E$5:$E$19&lt;&gt;"")*(AM$2&lt;N(+$F$5:$F$19))*(AM$2+7&gt;N(+$E$5:$E$19)))&gt;0))</f>
        <v/>
      </c>
      <c r="AN21" s="16">
        <f>SUMPRODUCT(($B$5:$B$19&lt;&gt;"")*(((AN$2&lt;$D$5:$D$19)*(AN$2+7&gt;$C$5:$C$19))+(($E$5:$E$19&lt;&gt;"")*(AN$2&lt;N(+$F$5:$F$19))*(AN$2+7&gt;N(+$E$5:$E$19)))&gt;0))</f>
        <v/>
      </c>
      <c r="AO21" s="16">
        <f>SUMPRODUCT(($B$5:$B$19&lt;&gt;"")*(((AO$2&lt;$D$5:$D$19)*(AO$2+7&gt;$C$5:$C$19))+(($E$5:$E$19&lt;&gt;"")*(AO$2&lt;N(+$F$5:$F$19))*(AO$2+7&gt;N(+$E$5:$E$19)))&gt;0))</f>
        <v/>
      </c>
      <c r="AP21" s="16">
        <f>SUMPRODUCT(($B$5:$B$19&lt;&gt;"")*(((AP$2&lt;$D$5:$D$19)*(AP$2+7&gt;$C$5:$C$19))+(($E$5:$E$19&lt;&gt;"")*(AP$2&lt;N(+$F$5:$F$19))*(AP$2+7&gt;N(+$E$5:$E$19)))&gt;0))</f>
        <v/>
      </c>
      <c r="AQ21" s="16">
        <f>SUMPRODUCT(($B$5:$B$19&lt;&gt;"")*(((AQ$2&lt;$D$5:$D$19)*(AQ$2+7&gt;$C$5:$C$19))+(($E$5:$E$19&lt;&gt;"")*(AQ$2&lt;N(+$F$5:$F$19))*(AQ$2+7&gt;N(+$E$5:$E$19)))&gt;0))</f>
        <v/>
      </c>
      <c r="AR21" s="16">
        <f>SUMPRODUCT(($B$5:$B$19&lt;&gt;"")*(((AR$2&lt;$D$5:$D$19)*(AR$2+7&gt;$C$5:$C$19))+(($E$5:$E$19&lt;&gt;"")*(AR$2&lt;N(+$F$5:$F$19))*(AR$2+7&gt;N(+$E$5:$E$19)))&gt;0))</f>
        <v/>
      </c>
      <c r="AS21" s="16">
        <f>SUMPRODUCT(($B$5:$B$19&lt;&gt;"")*(((AS$2&lt;$D$5:$D$19)*(AS$2+7&gt;$C$5:$C$19))+(($E$5:$E$19&lt;&gt;"")*(AS$2&lt;N(+$F$5:$F$19))*(AS$2+7&gt;N(+$E$5:$E$19)))&gt;0))</f>
        <v/>
      </c>
      <c r="AT21" s="16">
        <f>SUMPRODUCT(($B$5:$B$19&lt;&gt;"")*(((AT$2&lt;$D$5:$D$19)*(AT$2+7&gt;$C$5:$C$19))+(($E$5:$E$19&lt;&gt;"")*(AT$2&lt;N(+$F$5:$F$19))*(AT$2+7&gt;N(+$E$5:$E$19)))&gt;0))</f>
        <v/>
      </c>
      <c r="AU21" s="16">
        <f>SUMPRODUCT(($B$5:$B$19&lt;&gt;"")*(((AU$2&lt;$D$5:$D$19)*(AU$2+7&gt;$C$5:$C$19))+(($E$5:$E$19&lt;&gt;"")*(AU$2&lt;N(+$F$5:$F$19))*(AU$2+7&gt;N(+$E$5:$E$19)))&gt;0))</f>
        <v/>
      </c>
      <c r="AV21" s="16">
        <f>SUMPRODUCT(($B$5:$B$19&lt;&gt;"")*(((AV$2&lt;$D$5:$D$19)*(AV$2+7&gt;$C$5:$C$19))+(($E$5:$E$19&lt;&gt;"")*(AV$2&lt;N(+$F$5:$F$19))*(AV$2+7&gt;N(+$E$5:$E$19)))&gt;0))</f>
        <v/>
      </c>
      <c r="AW21" s="16">
        <f>SUMPRODUCT(($B$5:$B$19&lt;&gt;"")*(((AW$2&lt;$D$5:$D$19)*(AW$2+7&gt;$C$5:$C$19))+(($E$5:$E$19&lt;&gt;"")*(AW$2&lt;N(+$F$5:$F$19))*(AW$2+7&gt;N(+$E$5:$E$19)))&gt;0))</f>
        <v/>
      </c>
      <c r="AX21" s="16">
        <f>SUMPRODUCT(($B$5:$B$19&lt;&gt;"")*(((AX$2&lt;$D$5:$D$19)*(AX$2+7&gt;$C$5:$C$19))+(($E$5:$E$19&lt;&gt;"")*(AX$2&lt;N(+$F$5:$F$19))*(AX$2+7&gt;N(+$E$5:$E$19)))&gt;0))</f>
        <v/>
      </c>
      <c r="AY21" s="16">
        <f>SUMPRODUCT(($B$5:$B$19&lt;&gt;"")*(((AY$2&lt;$D$5:$D$19)*(AY$2+7&gt;$C$5:$C$19))+(($E$5:$E$19&lt;&gt;"")*(AY$2&lt;N(+$F$5:$F$19))*(AY$2+7&gt;N(+$E$5:$E$19)))&gt;0))</f>
        <v/>
      </c>
      <c r="AZ21" s="16">
        <f>SUMPRODUCT(($B$5:$B$19&lt;&gt;"")*(((AZ$2&lt;$D$5:$D$19)*(AZ$2+7&gt;$C$5:$C$19))+(($E$5:$E$19&lt;&gt;"")*(AZ$2&lt;N(+$F$5:$F$19))*(AZ$2+7&gt;N(+$E$5:$E$19)))&gt;0))</f>
        <v/>
      </c>
      <c r="BA21" s="16">
        <f>SUMPRODUCT(($B$5:$B$19&lt;&gt;"")*(((BA$2&lt;$D$5:$D$19)*(BA$2+7&gt;$C$5:$C$19))+(($E$5:$E$19&lt;&gt;"")*(BA$2&lt;N(+$F$5:$F$19))*(BA$2+7&gt;N(+$E$5:$E$19)))&gt;0))</f>
        <v/>
      </c>
      <c r="BB21" s="16">
        <f>SUMPRODUCT(($B$5:$B$19&lt;&gt;"")*(((BB$2&lt;$D$5:$D$19)*(BB$2+7&gt;$C$5:$C$19))+(($E$5:$E$19&lt;&gt;"")*(BB$2&lt;N(+$F$5:$F$19))*(BB$2+7&gt;N(+$E$5:$E$19)))&gt;0))</f>
        <v/>
      </c>
      <c r="BC21" s="16">
        <f>SUMPRODUCT(($B$5:$B$19&lt;&gt;"")*(((BC$2&lt;$D$5:$D$19)*(BC$2+7&gt;$C$5:$C$19))+(($E$5:$E$19&lt;&gt;"")*(BC$2&lt;N(+$F$5:$F$19))*(BC$2+7&gt;N(+$E$5:$E$19)))&gt;0))</f>
        <v/>
      </c>
      <c r="BD21" s="16">
        <f>SUMPRODUCT(($B$5:$B$19&lt;&gt;"")*(((BD$2&lt;$D$5:$D$19)*(BD$2+7&gt;$C$5:$C$19))+(($E$5:$E$19&lt;&gt;"")*(BD$2&lt;N(+$F$5:$F$19))*(BD$2+7&gt;N(+$E$5:$E$19)))&gt;0))</f>
        <v/>
      </c>
      <c r="BE21" s="16">
        <f>SUMPRODUCT(($B$5:$B$19&lt;&gt;"")*(((BE$2&lt;$D$5:$D$19)*(BE$2+7&gt;$C$5:$C$19))+(($E$5:$E$19&lt;&gt;"")*(BE$2&lt;N(+$F$5:$F$19))*(BE$2+7&gt;N(+$E$5:$E$19)))&gt;0))</f>
        <v/>
      </c>
      <c r="BF21" s="16">
        <f>SUMPRODUCT(($B$5:$B$19&lt;&gt;"")*(((BF$2&lt;$D$5:$D$19)*(BF$2+7&gt;$C$5:$C$19))+(($E$5:$E$19&lt;&gt;"")*(BF$2&lt;N(+$F$5:$F$19))*(BF$2+7&gt;N(+$E$5:$E$19)))&gt;0))</f>
        <v/>
      </c>
    </row>
    <row r="22">
      <c r="A22" s="33" t="n"/>
      <c r="B22" s="7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H22" s="33" t="n"/>
      <c r="AI22" s="33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33" t="n"/>
      <c r="BC22" s="33" t="n"/>
      <c r="BD22" s="33" t="n"/>
      <c r="BE22" s="33" t="n"/>
      <c r="BF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3" t="n"/>
      <c r="AG23" s="33" t="n"/>
      <c r="AH23" s="33" t="n"/>
      <c r="AI23" s="33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33" t="n"/>
      <c r="BC23" s="33" t="n"/>
      <c r="BD23" s="33" t="n"/>
      <c r="BE23" s="33" t="n"/>
      <c r="BF23" s="33" t="n"/>
    </row>
    <row r="24">
      <c r="A24" s="32" t="inlineStr">
        <is>
          <t>Leyenda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3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33" t="n"/>
      <c r="BC24" s="33" t="n"/>
      <c r="BD24" s="33" t="n"/>
      <c r="BE24" s="33" t="n"/>
      <c r="BF24" s="33" t="n"/>
    </row>
    <row r="25">
      <c r="A25" s="17" t="n"/>
      <c r="B25" s="18" t="inlineStr">
        <is>
          <t>Temporada alta (34 semanas) — campaña activa</t>
        </is>
      </c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</row>
    <row r="26">
      <c r="A26" s="19" t="n"/>
      <c r="B26" s="18" t="inlineStr">
        <is>
          <t>Temporada baja (13 semanas) — campaña activa</t>
        </is>
      </c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3" t="n"/>
      <c r="AG26" s="33" t="n"/>
      <c r="AH26" s="33" t="n"/>
      <c r="AI26" s="33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33" t="n"/>
      <c r="BC26" s="33" t="n"/>
      <c r="BD26" s="33" t="n"/>
      <c r="BE26" s="33" t="n"/>
      <c r="BF26" s="33" t="n"/>
    </row>
    <row r="27">
      <c r="A27" s="20" t="n"/>
      <c r="B27" s="18" t="inlineStr">
        <is>
          <t>Temporada muerta (5 semanas) — campaña activa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</row>
  </sheetData>
  <mergeCells count="18">
    <mergeCell ref="BC1:BF1"/>
    <mergeCell ref="AG1:AJ1"/>
    <mergeCell ref="X1:AB1"/>
    <mergeCell ref="AX1:BB1"/>
    <mergeCell ref="O1:S1"/>
    <mergeCell ref="AK1:AO1"/>
    <mergeCell ref="AT1:AW1"/>
    <mergeCell ref="C1:C2"/>
    <mergeCell ref="B1:B2"/>
    <mergeCell ref="D1:D2"/>
    <mergeCell ref="F1:F2"/>
    <mergeCell ref="G1:J1"/>
    <mergeCell ref="K1:N1"/>
    <mergeCell ref="E1:E2"/>
    <mergeCell ref="A1:A2"/>
    <mergeCell ref="AC1:AF1"/>
    <mergeCell ref="AP1:AS1"/>
    <mergeCell ref="T1:W1"/>
  </mergeCells>
  <conditionalFormatting sqref="G5:BF19">
    <cfRule type="expression" priority="2" dxfId="8">
      <formula>AND($B5&lt;&gt;"",OR(AND(G$2&lt;$D5,G$2+7&gt;$C5),AND($E5&lt;&gt;"",G$2&lt;$F5,G$2+7&gt;$E5)),G$3="Alta")</formula>
    </cfRule>
    <cfRule type="expression" priority="3" dxfId="7">
      <formula>AND($B5&lt;&gt;"",OR(AND(G$2&lt;$D5,G$2+7&gt;$C5),AND($E5&lt;&gt;"",G$2&lt;$F5,G$2+7&gt;$E5)),G$3="Baja")</formula>
    </cfRule>
    <cfRule type="expression" priority="4" dxfId="6">
      <formula>AND($B5&lt;&gt;"",OR(AND(G$2&lt;$D5,G$2+7&gt;$C5),AND($E5&lt;&gt;"",G$2&lt;$F5,G$2+7&gt;$E5)),G$3="Muerta")</formula>
    </cfRule>
    <cfRule type="expression" priority="5" dxfId="5">
      <formula>AND($B5&lt;&gt;"",G$3="Alta")</formula>
    </cfRule>
    <cfRule type="expression" priority="6" dxfId="4">
      <formula>AND($B5&lt;&gt;"",G$3="Baja")</formula>
    </cfRule>
    <cfRule type="expression" priority="7" dxfId="3">
      <formula>AND($B5&lt;&gt;"",G$3="Muerta")</formula>
    </cfRule>
  </conditionalFormatting>
  <conditionalFormatting sqref="G3:BF3">
    <cfRule type="expression" priority="8" dxfId="2">
      <formula>G$3="Alta"</formula>
    </cfRule>
    <cfRule type="expression" priority="9" dxfId="1">
      <formula>G$3="Baja"</formula>
    </cfRule>
    <cfRule type="expression" priority="10" dxfId="0">
      <formula>G$3="Muerta"</formula>
    </cfRule>
  </conditionalFormatting>
  <pageMargins left="0.75" right="0.75" top="1" bottom="1" header="0.511811023622047" footer="0.511811023622047"/>
  <pageSetup orientation="landscape" paperSize="8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2026-09-24T01:24:27Z</dcterms:created>
  <dcterms:modified xmlns:dcterms="http://purl.org/dc/terms/" xmlns:xsi="http://www.w3.org/2001/XMLSchema-instance" xsi:type="dcterms:W3CDTF">2026-09-28T02:59:21Z</dcterms:modified>
  <cp:lastModifiedBy>Alejandra Caica</cp:lastModifiedBy>
  <cp:revision>0</cp:revision>
</cp:coreProperties>
</file>