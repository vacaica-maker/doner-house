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Gantt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dd/mm"/>
    <numFmt numFmtId="167" formatCode="dd/mm/yy"/>
  </numFmts>
  <fonts count="12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0000"/>
      <sz val="10"/>
    </font>
    <font>
      <name val="Arial"/>
      <b val="1"/>
      <sz val="9"/>
    </font>
    <font>
      <name val="Arial"/>
      <i val="1"/>
      <sz val="9"/>
    </font>
    <font>
      <name val="Arial"/>
      <sz val="8"/>
    </font>
    <font>
      <name val="Arial"/>
      <b val="1"/>
      <sz val="8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8EA9DB"/>
      </patternFill>
    </fill>
    <fill>
      <patternFill patternType="solid">
        <fgColor rgb="00B4C6E7"/>
      </patternFill>
    </fill>
    <fill>
      <patternFill patternType="solid">
        <fgColor rgb="002E7D4F"/>
        <bgColor rgb="002E7D4F"/>
      </patternFill>
    </fill>
    <fill>
      <patternFill patternType="solid">
        <fgColor rgb="00E3A72F"/>
        <bgColor rgb="00E3A72F"/>
      </patternFill>
    </fill>
    <fill>
      <patternFill patternType="solid">
        <fgColor rgb="005B6178"/>
        <bgColor rgb="005B6178"/>
      </patternFill>
    </fill>
  </fills>
  <borders count="10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1" fillId="2" borderId="1" pivotButton="0" quotePrefix="0" xfId="0"/>
    <xf numFmtId="165" fontId="4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166" fontId="7" fillId="2" borderId="1" applyAlignment="1" pivotButton="0" quotePrefix="0" xfId="0">
      <alignment horizontal="center" vertical="center" textRotation="90"/>
    </xf>
    <xf numFmtId="166" fontId="7" fillId="3" borderId="1" applyAlignment="1" pivotButton="0" quotePrefix="0" xfId="0">
      <alignment horizontal="center" vertical="center" textRotation="90"/>
    </xf>
    <xf numFmtId="0" fontId="5" fillId="2" borderId="1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0" fontId="8" fillId="0" borderId="1" applyAlignment="1" pivotButton="0" quotePrefix="0" xfId="0">
      <alignment horizontal="center" vertical="center" textRotation="90"/>
    </xf>
    <xf numFmtId="167" fontId="9" fillId="0" borderId="1" applyAlignment="1" pivotButton="0" quotePrefix="0" xfId="0">
      <alignment horizontal="center" vertical="center"/>
    </xf>
    <xf numFmtId="0" fontId="0" fillId="0" borderId="9" pivotButton="0" quotePrefix="0" xfId="0"/>
    <xf numFmtId="0" fontId="10" fillId="4" borderId="0" pivotButton="0" quotePrefix="0" xfId="0"/>
    <xf numFmtId="0" fontId="11" fillId="5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2E7D4F"/>
          <bgColor rgb="002E7D4F"/>
        </patternFill>
      </fill>
    </dxf>
    <dxf>
      <fill>
        <patternFill patternType="solid">
          <fgColor rgb="00E3A72F"/>
          <bgColor rgb="00E3A72F"/>
        </patternFill>
      </fill>
    </dxf>
    <dxf>
      <fill>
        <patternFill patternType="solid">
          <fgColor rgb="005B6178"/>
          <bgColor rgb="005B6178"/>
        </patternFill>
      </fill>
    </dxf>
    <dxf>
      <fill>
        <patternFill patternType="solid">
          <fgColor rgb="00D5E8DC"/>
          <bgColor rgb="00D5E8DC"/>
        </patternFill>
      </fill>
    </dxf>
    <dxf>
      <fill>
        <patternFill patternType="solid">
          <fgColor rgb="00F8EBCB"/>
          <bgColor rgb="00F8EBCB"/>
        </patternFill>
      </fill>
    </dxf>
    <dxf>
      <fill>
        <patternFill patternType="solid">
          <fgColor rgb="00DADCE3"/>
          <bgColor rgb="00DADCE3"/>
        </patternFill>
      </fill>
    </dxf>
    <dxf>
      <font>
        <name val="Arial"/>
        <b val="1"/>
        <color rgb="00FFFFFF"/>
        <sz val="8"/>
      </font>
      <fill>
        <patternFill patternType="solid">
          <fgColor rgb="002E7D4F"/>
          <bgColor rgb="002E7D4F"/>
        </patternFill>
      </fill>
    </dxf>
    <dxf>
      <font>
        <name val="Arial"/>
        <b val="1"/>
        <color rgb="00000000"/>
        <sz val="8"/>
      </font>
      <fill>
        <patternFill patternType="solid">
          <fgColor rgb="00E3A72F"/>
          <bgColor rgb="00E3A72F"/>
        </patternFill>
      </fill>
    </dxf>
    <dxf>
      <font>
        <name val="Arial"/>
        <b val="1"/>
        <color rgb="00FFFFFF"/>
        <sz val="8"/>
      </font>
      <fill>
        <patternFill patternType="solid">
          <fgColor rgb="005B6178"/>
          <bgColor rgb="005B617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3" customWidth="1" min="3" max="3"/>
    <col width="15" customWidth="1" min="4" max="4"/>
    <col width="13" customWidth="1" min="5" max="5"/>
  </cols>
  <sheetData>
    <row r="1" ht="22" customHeight="1">
      <c r="A1" s="1" t="inlineStr">
        <is>
          <t>Area</t>
        </is>
      </c>
      <c r="B1" s="1" t="inlineStr">
        <is>
          <t>Tasks</t>
        </is>
      </c>
      <c r="C1" s="1" t="inlineStr">
        <is>
          <t>Start Date</t>
        </is>
      </c>
      <c r="D1" s="1" t="inlineStr">
        <is>
          <t>Duration Days</t>
        </is>
      </c>
      <c r="E1" s="1" t="inlineStr">
        <is>
          <t>End Date</t>
        </is>
      </c>
    </row>
    <row r="2" ht="30" customHeight="1">
      <c r="A2" s="2" t="inlineStr">
        <is>
          <t>Grand Opening</t>
        </is>
      </c>
      <c r="B2" s="3" t="inlineStr">
        <is>
          <t>Teaser countdown on Instagram &amp; TikTok (“something is spinning on Calle 72”)</t>
        </is>
      </c>
      <c r="C2" s="4" t="n">
        <v>46391</v>
      </c>
      <c r="D2" s="5" t="n">
        <v>14</v>
      </c>
      <c r="E2" s="6">
        <f>C2+D2</f>
        <v/>
      </c>
    </row>
    <row r="3" ht="30" customHeight="1">
      <c r="A3" s="7" t="n"/>
      <c r="B3" s="3" t="inlineStr">
        <is>
          <t>Press release to Bogotá food blogs and neighborhood groups</t>
        </is>
      </c>
      <c r="C3" s="4" t="n">
        <v>46398</v>
      </c>
      <c r="D3" s="5" t="n">
        <v>14</v>
      </c>
      <c r="E3" s="6">
        <f>C3+D3</f>
        <v/>
      </c>
    </row>
    <row r="4" ht="30" customHeight="1">
      <c r="A4" s="7" t="n"/>
      <c r="B4" s="3" t="inlineStr">
        <is>
          <t>Grand opening week: free soft drink with any Combo</t>
        </is>
      </c>
      <c r="C4" s="4" t="n">
        <v>46405</v>
      </c>
      <c r="D4" s="5" t="n">
        <v>7</v>
      </c>
      <c r="E4" s="6">
        <f>C4+D4</f>
        <v/>
      </c>
    </row>
    <row r="5" ht="30" customHeight="1">
      <c r="A5" s="7" t="n"/>
      <c r="B5" s="3" t="inlineStr">
        <is>
          <t>Flyers &amp; free tastings at nearby offices and universities</t>
        </is>
      </c>
      <c r="C5" s="4" t="n">
        <v>46405</v>
      </c>
      <c r="D5" s="5" t="n">
        <v>14</v>
      </c>
      <c r="E5" s="6">
        <f>C5+D5</f>
        <v/>
      </c>
    </row>
    <row r="6" ht="30" customHeight="1">
      <c r="A6" s="7" t="n"/>
      <c r="B6" s="3" t="inlineStr">
        <is>
          <t>Announce the Customer Satisfaction Guarantee (counter signage + social post)</t>
        </is>
      </c>
      <c r="C6" s="4" t="n">
        <v>46405</v>
      </c>
      <c r="D6" s="5" t="n">
        <v>7</v>
      </c>
      <c r="E6" s="6">
        <f>C6+D6</f>
        <v/>
      </c>
    </row>
    <row r="7" ht="30" customHeight="1">
      <c r="A7" s="2" t="inlineStr">
        <is>
          <t>Digital Advertising</t>
        </is>
      </c>
      <c r="B7" s="3" t="inlineStr">
        <is>
          <t>Always-on content on Instagram, TikTok &amp; Facebook (product videos, behind the counter, combos)</t>
        </is>
      </c>
      <c r="C7" s="4" t="n">
        <v>46391</v>
      </c>
      <c r="D7" s="8">
        <f>$C$52-C7</f>
        <v/>
      </c>
      <c r="E7" s="6">
        <f>C7+D7</f>
        <v/>
      </c>
    </row>
    <row r="8" ht="30" customHeight="1">
      <c r="A8" s="7" t="n"/>
      <c r="B8" s="3" t="inlineStr">
        <is>
          <t>Google Business Profile: photos, hours, menu and review requests</t>
        </is>
      </c>
      <c r="C8" s="4" t="n">
        <v>46391</v>
      </c>
      <c r="D8" s="8">
        <f>$C$52-C8</f>
        <v/>
      </c>
      <c r="E8" s="6">
        <f>C8+D8</f>
        <v/>
      </c>
    </row>
    <row r="9" ht="30" customHeight="1">
      <c r="A9" s="7" t="n"/>
      <c r="B9" s="3" t="inlineStr">
        <is>
          <t>Paid geo-targeted Meta Ads (radius around the store)</t>
        </is>
      </c>
      <c r="C9" s="4" t="n">
        <v>46405</v>
      </c>
      <c r="D9" s="8">
        <f>$C$52-C9</f>
        <v/>
      </c>
      <c r="E9" s="6">
        <f>C9+D9</f>
        <v/>
      </c>
    </row>
    <row r="10" ht="30" customHeight="1">
      <c r="A10" s="7" t="n"/>
      <c r="B10" s="3" t="inlineStr">
        <is>
          <t>Food micro-influencer &amp; blogger collaborations in Bogotá — wave 1</t>
        </is>
      </c>
      <c r="C10" s="4" t="n">
        <v>46419</v>
      </c>
      <c r="D10" s="5" t="n">
        <v>28</v>
      </c>
      <c r="E10" s="6">
        <f>C10+D10</f>
        <v/>
      </c>
    </row>
    <row r="11" ht="30" customHeight="1">
      <c r="A11" s="7" t="n"/>
      <c r="B11" s="3" t="inlineStr">
        <is>
          <t>QR code on packaging and receipts: follow us + 10% off the next order</t>
        </is>
      </c>
      <c r="C11" s="4" t="n">
        <v>46433</v>
      </c>
      <c r="D11" s="8">
        <f>$C$52-C11</f>
        <v/>
      </c>
      <c r="E11" s="6">
        <f>C11+D11</f>
        <v/>
      </c>
    </row>
    <row r="12" ht="30" customHeight="1">
      <c r="A12" s="7" t="n"/>
      <c r="B12" s="3" t="inlineStr">
        <is>
          <t>WhatsApp Business catalog and weekly offer broadcast</t>
        </is>
      </c>
      <c r="C12" s="4" t="n">
        <v>46440</v>
      </c>
      <c r="D12" s="8">
        <f>$C$52-C12</f>
        <v/>
      </c>
      <c r="E12" s="6">
        <f>C12+D12</f>
        <v/>
      </c>
    </row>
    <row r="13" ht="30" customHeight="1">
      <c r="A13" s="7" t="n"/>
      <c r="B13" s="3" t="inlineStr">
        <is>
          <t>Monthly customer photo contest (#DonerHouse): winner gets a free Combo</t>
        </is>
      </c>
      <c r="C13" s="4" t="n">
        <v>46482</v>
      </c>
      <c r="D13" s="5" t="n">
        <v>182</v>
      </c>
      <c r="E13" s="6">
        <f>C13+D13</f>
        <v/>
      </c>
    </row>
    <row r="14" ht="30" customHeight="1">
      <c r="A14" s="7" t="n"/>
      <c r="B14" s="3" t="inlineStr">
        <is>
          <t>Food micro-influencer &amp; blogger collaborations in Bogotá — wave 2 (second semester)</t>
        </is>
      </c>
      <c r="C14" s="4" t="n">
        <v>46601</v>
      </c>
      <c r="D14" s="5" t="n">
        <v>28</v>
      </c>
      <c r="E14" s="6">
        <f>C14+D14</f>
        <v/>
      </c>
    </row>
    <row r="15" ht="30" customHeight="1">
      <c r="A15" s="7" t="n"/>
      <c r="B15" s="3" t="inlineStr">
        <is>
          <t>TikTok challenge: “the perfect wrap” video with a prize</t>
        </is>
      </c>
      <c r="C15" s="4" t="n">
        <v>46657</v>
      </c>
      <c r="D15" s="5" t="n">
        <v>21</v>
      </c>
      <c r="E15" s="6">
        <f>C15+D15</f>
        <v/>
      </c>
    </row>
    <row r="16" ht="30" customHeight="1">
      <c r="A16" s="2" t="inlineStr">
        <is>
          <t>Delivery &amp; Loyalty</t>
        </is>
      </c>
      <c r="B16" s="3" t="inlineStr">
        <is>
          <t>Launch on Rappi, Uber Eats &amp; DiDi Food with an introductory discount</t>
        </is>
      </c>
      <c r="C16" s="4" t="n">
        <v>46412</v>
      </c>
      <c r="D16" s="5" t="n">
        <v>28</v>
      </c>
      <c r="E16" s="6">
        <f>C16+D16</f>
        <v/>
      </c>
    </row>
    <row r="17" ht="30" customHeight="1">
      <c r="A17" s="7" t="n"/>
      <c r="B17" s="3" t="inlineStr">
        <is>
          <t>Loyalty card: every 10th döner is free</t>
        </is>
      </c>
      <c r="C17" s="4" t="n">
        <v>46419</v>
      </c>
      <c r="D17" s="8">
        <f>$C$52-C17</f>
        <v/>
      </c>
      <c r="E17" s="6">
        <f>C17+D17</f>
        <v/>
      </c>
    </row>
    <row r="18" ht="30" customHeight="1">
      <c r="A18" s="7" t="n"/>
      <c r="B18" s="3" t="inlineStr">
        <is>
          <t>Student &amp; office-worker discount, first semester (10% with ID or work badge)</t>
        </is>
      </c>
      <c r="C18" s="4" t="n">
        <v>46419</v>
      </c>
      <c r="D18" s="5" t="n">
        <v>119</v>
      </c>
      <c r="E18" s="6">
        <f>C18+D18</f>
        <v/>
      </c>
    </row>
    <row r="19" ht="30" customHeight="1">
      <c r="A19" s="7" t="n"/>
      <c r="B19" s="3" t="inlineStr">
        <is>
          <t>Payday weekends (15th and 30th): Combo upgrade to the next size</t>
        </is>
      </c>
      <c r="C19" s="4" t="n">
        <v>46447</v>
      </c>
      <c r="D19" s="8">
        <f>$C$52-C19</f>
        <v/>
      </c>
      <c r="E19" s="6">
        <f>C19+D19</f>
        <v/>
      </c>
    </row>
    <row r="20" ht="30" customHeight="1">
      <c r="A20" s="7" t="n"/>
      <c r="B20" s="3" t="inlineStr">
        <is>
          <t>Corporate lunch plan: bulk orders for nearby offices via WhatsApp</t>
        </is>
      </c>
      <c r="C20" s="4" t="n">
        <v>46461</v>
      </c>
      <c r="D20" s="8">
        <f>$C$52-C20</f>
        <v/>
      </c>
      <c r="E20" s="6">
        <f>C20+D20</f>
        <v/>
      </c>
    </row>
    <row r="21" ht="30" customHeight="1">
      <c r="A21" s="7" t="n"/>
      <c r="B21" s="3" t="inlineStr">
        <is>
          <t>Refer-a-friend: both get free fries on their next order</t>
        </is>
      </c>
      <c r="C21" s="4" t="n">
        <v>46489</v>
      </c>
      <c r="D21" s="5" t="n">
        <v>84</v>
      </c>
      <c r="E21" s="6">
        <f>C21+D21</f>
        <v/>
      </c>
    </row>
    <row r="22" ht="30" customHeight="1">
      <c r="A22" s="7" t="n"/>
      <c r="B22" s="3" t="inlineStr">
        <is>
          <t>Student &amp; office-worker discount, second semester (10% with ID or work badge)</t>
        </is>
      </c>
      <c r="C22" s="4" t="n">
        <v>46601</v>
      </c>
      <c r="D22" s="5" t="n">
        <v>119</v>
      </c>
      <c r="E22" s="6">
        <f>C22+D22</f>
        <v/>
      </c>
    </row>
    <row r="23" ht="30" customHeight="1">
      <c r="A23" s="7" t="n"/>
      <c r="B23" s="3" t="inlineStr">
        <is>
          <t>Rainy-season delivery push: free drink on delivery orders on rainy days</t>
        </is>
      </c>
      <c r="C23" s="4" t="n">
        <v>46678</v>
      </c>
      <c r="D23" s="5" t="n">
        <v>42</v>
      </c>
      <c r="E23" s="6">
        <f>C23+D23</f>
        <v/>
      </c>
    </row>
    <row r="24" ht="30" customHeight="1">
      <c r="A24" s="7" t="n"/>
      <c r="B24" s="3" t="inlineStr">
        <is>
          <t>Double loyalty stamps in December</t>
        </is>
      </c>
      <c r="C24" s="4" t="n">
        <v>46727</v>
      </c>
      <c r="D24" s="5" t="n">
        <v>21</v>
      </c>
      <c r="E24" s="6">
        <f>C24+D24</f>
        <v/>
      </c>
    </row>
    <row r="25" ht="30" customHeight="1">
      <c r="A25" s="2" t="inlineStr">
        <is>
          <t>Seasonal Dates</t>
        </is>
      </c>
      <c r="B25" s="3" t="inlineStr">
        <is>
          <t>Valentine's Day (14 Feb): “Share a Döner”, 2 Combos with 20% off</t>
        </is>
      </c>
      <c r="C25" s="4" t="n">
        <v>46426</v>
      </c>
      <c r="D25" s="5" t="n">
        <v>7</v>
      </c>
      <c r="E25" s="6">
        <f>C25+D25</f>
        <v/>
      </c>
    </row>
    <row r="26" ht="30" customHeight="1">
      <c r="A26" s="7" t="n"/>
      <c r="B26" s="3" t="inlineStr">
        <is>
          <t>Mother's Day (9 May): Family Combo pack</t>
        </is>
      </c>
      <c r="C26" s="4" t="n">
        <v>46510</v>
      </c>
      <c r="D26" s="5" t="n">
        <v>7</v>
      </c>
      <c r="E26" s="6">
        <f>C26+D26</f>
        <v/>
      </c>
    </row>
    <row r="27" ht="30" customHeight="1">
      <c r="A27" s="7" t="n"/>
      <c r="B27" s="3" t="inlineStr">
        <is>
          <t>Father's Day (20 Jun): Large Döner Combo at a special price</t>
        </is>
      </c>
      <c r="C27" s="4" t="n">
        <v>46552</v>
      </c>
      <c r="D27" s="5" t="n">
        <v>7</v>
      </c>
      <c r="E27" s="6">
        <f>C27+D27</f>
        <v/>
      </c>
    </row>
    <row r="28" ht="30" customHeight="1">
      <c r="A28" s="7" t="n"/>
      <c r="B28" s="3" t="inlineStr">
        <is>
          <t>Six-month anniversary (4 Jul): free size upgrade all week</t>
        </is>
      </c>
      <c r="C28" s="4" t="n">
        <v>46573</v>
      </c>
      <c r="D28" s="5" t="n">
        <v>7</v>
      </c>
      <c r="E28" s="6">
        <f>C28+D28</f>
        <v/>
      </c>
    </row>
    <row r="29" ht="30" customHeight="1">
      <c r="A29" s="7" t="n"/>
      <c r="B29" s="3" t="inlineStr">
        <is>
          <t>Amor y Amistad (18 Sep): Friends Combo, 3 Combos with 15% off</t>
        </is>
      </c>
      <c r="C29" s="4" t="n">
        <v>46643</v>
      </c>
      <c r="D29" s="5" t="n">
        <v>7</v>
      </c>
      <c r="E29" s="6">
        <f>C29+D29</f>
        <v/>
      </c>
    </row>
    <row r="30" ht="30" customHeight="1">
      <c r="A30" s="7" t="n"/>
      <c r="B30" s="3" t="inlineStr">
        <is>
          <t>Long weekend (18 Oct): delivery-app free-fries promo</t>
        </is>
      </c>
      <c r="C30" s="4" t="n">
        <v>46671</v>
      </c>
      <c r="D30" s="5" t="n">
        <v>14</v>
      </c>
      <c r="E30" s="6">
        <f>C30+D30</f>
        <v/>
      </c>
    </row>
    <row r="31" ht="30" customHeight="1">
      <c r="A31" s="7" t="n"/>
      <c r="B31" s="3" t="inlineStr">
        <is>
          <t>Halloween (31 Oct): themed combo and social costume contest</t>
        </is>
      </c>
      <c r="C31" s="4" t="n">
        <v>46685</v>
      </c>
      <c r="D31" s="5" t="n">
        <v>7</v>
      </c>
      <c r="E31" s="6">
        <f>C31+D31</f>
        <v/>
      </c>
    </row>
    <row r="32" ht="30" customHeight="1">
      <c r="A32" s="7" t="n"/>
      <c r="B32" s="3" t="inlineStr">
        <is>
          <t>Long weekend (15 Nov): delivery-app free-fries promo</t>
        </is>
      </c>
      <c r="C32" s="4" t="n">
        <v>46699</v>
      </c>
      <c r="D32" s="5" t="n">
        <v>14</v>
      </c>
      <c r="E32" s="6">
        <f>C32+D32</f>
        <v/>
      </c>
    </row>
    <row r="33" ht="30" customHeight="1">
      <c r="A33" s="7" t="n"/>
      <c r="B33" s="3" t="inlineStr">
        <is>
          <t>Black Friday (26 Nov): one-day Combo deal, delivery apps and store</t>
        </is>
      </c>
      <c r="C33" s="4" t="n">
        <v>46713</v>
      </c>
      <c r="D33" s="5" t="n">
        <v>7</v>
      </c>
      <c r="E33" s="6">
        <f>C33+D33</f>
        <v/>
      </c>
    </row>
    <row r="34" ht="30" customHeight="1">
      <c r="A34" s="7" t="n"/>
      <c r="B34" s="3" t="inlineStr">
        <is>
          <t>Christmas &amp; year-end: Party Pack for office and family gatherings</t>
        </is>
      </c>
      <c r="C34" s="4" t="n">
        <v>46734</v>
      </c>
      <c r="D34" s="5" t="n">
        <v>14</v>
      </c>
      <c r="E34" s="6">
        <f>C34+D34</f>
        <v/>
      </c>
    </row>
    <row r="35" ht="30" customHeight="1">
      <c r="A35" s="2" t="inlineStr">
        <is>
          <t>Community &amp; Partnerships</t>
        </is>
      </c>
      <c r="B35" s="3" t="inlineStr">
        <is>
          <t>First-semester welcome week: campus stand with free samples</t>
        </is>
      </c>
      <c r="C35" s="4" t="n">
        <v>46419</v>
      </c>
      <c r="D35" s="5" t="n">
        <v>7</v>
      </c>
      <c r="E35" s="6">
        <f>C35+D35</f>
        <v/>
      </c>
    </row>
    <row r="36" ht="30" customHeight="1">
      <c r="A36" s="7" t="n"/>
      <c r="B36" s="3" t="inlineStr">
        <is>
          <t>Partnerships with nearby gyms and coworking spaces (show your badge, get a Combo deal)</t>
        </is>
      </c>
      <c r="C36" s="4" t="n">
        <v>46454</v>
      </c>
      <c r="D36" s="5" t="n">
        <v>84</v>
      </c>
      <c r="E36" s="6">
        <f>C36+D36</f>
        <v/>
      </c>
    </row>
    <row r="37" ht="30" customHeight="1">
      <c r="A37" s="7" t="n"/>
      <c r="B37" s="3" t="inlineStr">
        <is>
          <t>Neighborhood tasting day: live döner-carving show on Calle 72</t>
        </is>
      </c>
      <c r="C37" s="4" t="n">
        <v>46524</v>
      </c>
      <c r="D37" s="5" t="n">
        <v>7</v>
      </c>
      <c r="E37" s="6">
        <f>C37+D37</f>
        <v/>
      </c>
    </row>
    <row r="38" ht="30" customHeight="1">
      <c r="A38" s="7" t="n"/>
      <c r="B38" s="3" t="inlineStr">
        <is>
          <t>Second-semester welcome week: campus stand with free samples</t>
        </is>
      </c>
      <c r="C38" s="4" t="n">
        <v>46601</v>
      </c>
      <c r="D38" s="5" t="n">
        <v>7</v>
      </c>
      <c r="E38" s="6">
        <f>C38+D38</f>
        <v/>
      </c>
    </row>
    <row r="39" ht="30" customHeight="1">
      <c r="A39" s="7" t="n"/>
      <c r="B39" s="3" t="inlineStr">
        <is>
          <t>Sponsor a local amateur football tournament: team Combo packs</t>
        </is>
      </c>
      <c r="C39" s="4" t="n">
        <v>46615</v>
      </c>
      <c r="D39" s="5" t="n">
        <v>28</v>
      </c>
      <c r="E39" s="6">
        <f>C39+D39</f>
        <v/>
      </c>
    </row>
    <row r="40" ht="30" customHeight="1">
      <c r="A40" s="7" t="n"/>
      <c r="B40" s="3" t="inlineStr">
        <is>
          <t>Community giving: one döner donated to a local food bank for every 10 sold</t>
        </is>
      </c>
      <c r="C40" s="4" t="n">
        <v>46664</v>
      </c>
      <c r="D40" s="5" t="n">
        <v>28</v>
      </c>
      <c r="E40" s="6">
        <f>C40+D40</f>
        <v/>
      </c>
    </row>
    <row r="41" ht="30" customHeight="1">
      <c r="A41" s="2" t="inlineStr">
        <is>
          <t>Product &amp; Menu</t>
        </is>
      </c>
      <c r="B41" s="3" t="inlineStr">
        <is>
          <t>Customers vote on the next limited-edition sauce (Instagram Stories poll)</t>
        </is>
      </c>
      <c r="C41" s="4" t="n">
        <v>46559</v>
      </c>
      <c r="D41" s="5" t="n">
        <v>14</v>
      </c>
      <c r="E41" s="6">
        <f>C41+D41</f>
        <v/>
      </c>
    </row>
    <row r="42" ht="30" customHeight="1">
      <c r="A42" s="7" t="n"/>
      <c r="B42" s="3" t="inlineStr">
        <is>
          <t>Limited-edition spicy döner with the winning sauce</t>
        </is>
      </c>
      <c r="C42" s="4" t="n">
        <v>46580</v>
      </c>
      <c r="D42" s="5" t="n">
        <v>28</v>
      </c>
      <c r="E42" s="6">
        <f>C42+D42</f>
        <v/>
      </c>
    </row>
    <row r="43" ht="30" customHeight="1">
      <c r="A43" s="2" t="inlineStr">
        <is>
          <t>Low &amp; Dead Season</t>
        </is>
      </c>
      <c r="B43" s="3" t="inlineStr">
        <is>
          <t>Back-to-work office lunch Combo (January, offices reopen before universities)</t>
        </is>
      </c>
      <c r="C43" s="4" t="n">
        <v>46391</v>
      </c>
      <c r="D43" s="5" t="n">
        <v>21</v>
      </c>
      <c r="E43" s="6">
        <f>C43+D43</f>
        <v/>
      </c>
    </row>
    <row r="44" ht="30" customHeight="1">
      <c r="A44" s="7" t="n"/>
      <c r="B44" s="3" t="inlineStr">
        <is>
          <t>Holy Week (22–28 Mar), dead season: “stay-in” delivery Combo for two</t>
        </is>
      </c>
      <c r="C44" s="4" t="n">
        <v>46468</v>
      </c>
      <c r="D44" s="5" t="n">
        <v>7</v>
      </c>
      <c r="E44" s="6">
        <f>C44+D44</f>
        <v/>
      </c>
    </row>
    <row r="45" ht="30" customHeight="1">
      <c r="A45" s="7" t="n"/>
      <c r="B45" s="3" t="inlineStr">
        <is>
          <t>Mid-year school and university break: free delivery on orders over COP $40,000</t>
        </is>
      </c>
      <c r="C45" s="4" t="n">
        <v>46559</v>
      </c>
      <c r="D45" s="5" t="n">
        <v>21</v>
      </c>
      <c r="E45" s="6">
        <f>C45+D45</f>
        <v/>
      </c>
    </row>
    <row r="46" ht="30" customHeight="1">
      <c r="A46" s="7" t="n"/>
      <c r="B46" s="3" t="inlineStr">
        <is>
          <t>Mid-year holidays, dead season: “stay-in” delivery Combo for two</t>
        </is>
      </c>
      <c r="C46" s="4" t="n">
        <v>46566</v>
      </c>
      <c r="D46" s="5" t="n">
        <v>14</v>
      </c>
      <c r="E46" s="6">
        <f>C46+D46</f>
        <v/>
      </c>
    </row>
    <row r="47" ht="30" customHeight="1">
      <c r="A47" s="7" t="n"/>
      <c r="B47" s="3" t="inlineStr">
        <is>
          <t>Weekday Happy Hour (3–5 PM): discounted Combo to fill the slow weeks</t>
        </is>
      </c>
      <c r="C47" s="4" t="n">
        <v>46580</v>
      </c>
      <c r="D47" s="5" t="n">
        <v>21</v>
      </c>
      <c r="E47" s="6">
        <f>C47+D47</f>
        <v/>
      </c>
    </row>
    <row r="48" ht="30" customHeight="1">
      <c r="A48" s="7" t="n"/>
      <c r="B48" s="3" t="inlineStr">
        <is>
          <t>Gift vouchers for Christmas, redeemable in January</t>
        </is>
      </c>
      <c r="C48" s="4" t="n">
        <v>46720</v>
      </c>
      <c r="D48" s="5" t="n">
        <v>21</v>
      </c>
      <c r="E48" s="6">
        <f>C48+D48</f>
        <v/>
      </c>
    </row>
    <row r="51">
      <c r="A51" s="9" t="inlineStr">
        <is>
          <t>START STRATEGIES</t>
        </is>
      </c>
      <c r="B51" s="7" t="n"/>
      <c r="C51" s="10">
        <f>MIN(C2:C48)</f>
        <v/>
      </c>
    </row>
    <row r="52">
      <c r="A52" s="9" t="inlineStr">
        <is>
          <t>END STRATEGIES</t>
        </is>
      </c>
      <c r="B52" s="7" t="n"/>
      <c r="C52" s="11" t="n">
        <v>46752</v>
      </c>
    </row>
    <row r="54">
      <c r="A54" s="12" t="inlineStr">
        <is>
          <t>Notes:</t>
        </is>
      </c>
    </row>
    <row r="55">
      <c r="A55" s="13" t="inlineStr">
        <is>
          <t>Blue = editable inputs (start dates, fixed durations, end of strategies). Black = formulas. End Date = Start Date + Duration Days.</t>
        </is>
      </c>
    </row>
    <row r="56">
      <c r="A56" s="13" t="inlineStr">
        <is>
          <t>Plan covers all of 2027 (January to December). Every start date is a Monday and fixed durations are whole weeks (multiples of 7 days).</t>
        </is>
      </c>
    </row>
    <row r="57">
      <c r="A57" s="13" t="inlineStr">
        <is>
          <t>Always-on campaigns have no fixed length: their duration runs from their start date to END STRATEGIES (cell C52).</t>
        </is>
      </c>
    </row>
    <row r="58">
      <c r="A58" s="13" t="inlineStr">
        <is>
          <t>Assumption: the store opens in the first week of January 2027. If the opening date moves, shift every start date by the same number of days.</t>
        </is>
      </c>
    </row>
    <row r="59">
      <c r="A59" s="13" t="inlineStr">
        <is>
          <t>Assumption: discounts (10% student/office, 10th döner free, COP $40,000 free-delivery minimum, Party Pack, etc.) are proposals, not survey results. They were sized to stay above production cost at the 35% target margin (website, section 3.4.2).</t>
        </is>
      </c>
    </row>
    <row r="60">
      <c r="A60" s="13" t="inlineStr">
        <is>
          <t>Seasonal dates 2027: Valentine's Day 14 Feb, Holy Week 22-28 Mar, Mother's Day 9 May, Father's Day 20 Jun, Six-month anniversary 4 Jul, Amor y Amistad 18 Sep, long weekends 18 Oct and 15 Nov, Halloween 31 Oct, Black Friday 26 Nov.</t>
        </is>
      </c>
    </row>
    <row r="61">
      <c r="A61" s="13" t="inlineStr">
        <is>
          <t>The Gantt chart with the season colors is on the next sheet, 'Gantt Chart'; it reads the dates from this table.</t>
        </is>
      </c>
    </row>
  </sheetData>
  <mergeCells count="9">
    <mergeCell ref="A35:A40"/>
    <mergeCell ref="A52:B52"/>
    <mergeCell ref="A25:A34"/>
    <mergeCell ref="A51:B51"/>
    <mergeCell ref="A2:A6"/>
    <mergeCell ref="A43:A48"/>
    <mergeCell ref="A41:A42"/>
    <mergeCell ref="A7:A15"/>
    <mergeCell ref="A16:A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  <col width="9" customWidth="1" min="3" max="3"/>
    <col width="9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  <col width="3.6" customWidth="1" min="52" max="52"/>
    <col width="3.6" customWidth="1" min="53" max="53"/>
    <col width="3.6" customWidth="1" min="54" max="54"/>
    <col width="3.6" customWidth="1" min="55" max="55"/>
    <col width="3.6" customWidth="1" min="56" max="56"/>
  </cols>
  <sheetData>
    <row r="1" ht="20" customHeight="1">
      <c r="A1" s="1" t="inlineStr">
        <is>
          <t>Area</t>
        </is>
      </c>
      <c r="B1" s="1" t="inlineStr">
        <is>
          <t>Campaign</t>
        </is>
      </c>
      <c r="C1" s="1" t="inlineStr">
        <is>
          <t>Start</t>
        </is>
      </c>
      <c r="D1" s="1" t="inlineStr">
        <is>
          <t>End</t>
        </is>
      </c>
      <c r="E1" s="14" t="inlineStr">
        <is>
          <t>January</t>
        </is>
      </c>
      <c r="F1" s="15" t="n"/>
      <c r="G1" s="15" t="n"/>
      <c r="H1" s="15" t="n"/>
      <c r="I1" s="16" t="inlineStr">
        <is>
          <t>February</t>
        </is>
      </c>
      <c r="J1" s="17" t="n"/>
      <c r="K1" s="17" t="n"/>
      <c r="L1" s="17" t="n"/>
      <c r="M1" s="14" t="inlineStr">
        <is>
          <t>March</t>
        </is>
      </c>
      <c r="N1" s="15" t="n"/>
      <c r="O1" s="15" t="n"/>
      <c r="P1" s="15" t="n"/>
      <c r="Q1" s="15" t="n"/>
      <c r="R1" s="16" t="inlineStr">
        <is>
          <t>April</t>
        </is>
      </c>
      <c r="S1" s="17" t="n"/>
      <c r="T1" s="17" t="n"/>
      <c r="U1" s="17" t="n"/>
      <c r="V1" s="14" t="inlineStr">
        <is>
          <t>May</t>
        </is>
      </c>
      <c r="W1" s="15" t="n"/>
      <c r="X1" s="15" t="n"/>
      <c r="Y1" s="15" t="n"/>
      <c r="Z1" s="15" t="n"/>
      <c r="AA1" s="16" t="inlineStr">
        <is>
          <t>June</t>
        </is>
      </c>
      <c r="AB1" s="17" t="n"/>
      <c r="AC1" s="17" t="n"/>
      <c r="AD1" s="17" t="n"/>
      <c r="AE1" s="14" t="inlineStr">
        <is>
          <t>July</t>
        </is>
      </c>
      <c r="AF1" s="15" t="n"/>
      <c r="AG1" s="15" t="n"/>
      <c r="AH1" s="15" t="n"/>
      <c r="AI1" s="16" t="inlineStr">
        <is>
          <t>August</t>
        </is>
      </c>
      <c r="AJ1" s="17" t="n"/>
      <c r="AK1" s="17" t="n"/>
      <c r="AL1" s="17" t="n"/>
      <c r="AM1" s="17" t="n"/>
      <c r="AN1" s="14" t="inlineStr">
        <is>
          <t>September</t>
        </is>
      </c>
      <c r="AO1" s="15" t="n"/>
      <c r="AP1" s="15" t="n"/>
      <c r="AQ1" s="15" t="n"/>
      <c r="AR1" s="16" t="inlineStr">
        <is>
          <t>October</t>
        </is>
      </c>
      <c r="AS1" s="17" t="n"/>
      <c r="AT1" s="17" t="n"/>
      <c r="AU1" s="17" t="n"/>
      <c r="AV1" s="14" t="inlineStr">
        <is>
          <t>November</t>
        </is>
      </c>
      <c r="AW1" s="15" t="n"/>
      <c r="AX1" s="15" t="n"/>
      <c r="AY1" s="15" t="n"/>
      <c r="AZ1" s="15" t="n"/>
      <c r="BA1" s="16" t="inlineStr">
        <is>
          <t>December</t>
        </is>
      </c>
      <c r="BB1" s="17" t="n"/>
      <c r="BC1" s="17" t="n"/>
      <c r="BD1" s="17" t="n"/>
    </row>
    <row r="2" ht="34" customHeight="1">
      <c r="A2" s="15" t="n"/>
      <c r="B2" s="15" t="n"/>
      <c r="C2" s="15" t="n"/>
      <c r="D2" s="15" t="n"/>
      <c r="E2" s="18" t="n">
        <v>46391</v>
      </c>
      <c r="F2" s="18" t="n">
        <v>46398</v>
      </c>
      <c r="G2" s="18" t="n">
        <v>46405</v>
      </c>
      <c r="H2" s="18" t="n">
        <v>46412</v>
      </c>
      <c r="I2" s="19" t="n">
        <v>46419</v>
      </c>
      <c r="J2" s="19" t="n">
        <v>46426</v>
      </c>
      <c r="K2" s="19" t="n">
        <v>46433</v>
      </c>
      <c r="L2" s="19" t="n">
        <v>46440</v>
      </c>
      <c r="M2" s="18" t="n">
        <v>46447</v>
      </c>
      <c r="N2" s="18" t="n">
        <v>46454</v>
      </c>
      <c r="O2" s="18" t="n">
        <v>46461</v>
      </c>
      <c r="P2" s="18" t="n">
        <v>46468</v>
      </c>
      <c r="Q2" s="18" t="n">
        <v>46475</v>
      </c>
      <c r="R2" s="19" t="n">
        <v>46482</v>
      </c>
      <c r="S2" s="19" t="n">
        <v>46489</v>
      </c>
      <c r="T2" s="19" t="n">
        <v>46496</v>
      </c>
      <c r="U2" s="19" t="n">
        <v>46503</v>
      </c>
      <c r="V2" s="18" t="n">
        <v>46510</v>
      </c>
      <c r="W2" s="18" t="n">
        <v>46517</v>
      </c>
      <c r="X2" s="18" t="n">
        <v>46524</v>
      </c>
      <c r="Y2" s="18" t="n">
        <v>46531</v>
      </c>
      <c r="Z2" s="18" t="n">
        <v>46538</v>
      </c>
      <c r="AA2" s="19" t="n">
        <v>46545</v>
      </c>
      <c r="AB2" s="19" t="n">
        <v>46552</v>
      </c>
      <c r="AC2" s="19" t="n">
        <v>46559</v>
      </c>
      <c r="AD2" s="19" t="n">
        <v>46566</v>
      </c>
      <c r="AE2" s="18" t="n">
        <v>46573</v>
      </c>
      <c r="AF2" s="18" t="n">
        <v>46580</v>
      </c>
      <c r="AG2" s="18" t="n">
        <v>46587</v>
      </c>
      <c r="AH2" s="18" t="n">
        <v>46594</v>
      </c>
      <c r="AI2" s="19" t="n">
        <v>46601</v>
      </c>
      <c r="AJ2" s="19" t="n">
        <v>46608</v>
      </c>
      <c r="AK2" s="19" t="n">
        <v>46615</v>
      </c>
      <c r="AL2" s="19" t="n">
        <v>46622</v>
      </c>
      <c r="AM2" s="19" t="n">
        <v>46629</v>
      </c>
      <c r="AN2" s="18" t="n">
        <v>46636</v>
      </c>
      <c r="AO2" s="18" t="n">
        <v>46643</v>
      </c>
      <c r="AP2" s="18" t="n">
        <v>46650</v>
      </c>
      <c r="AQ2" s="18" t="n">
        <v>46657</v>
      </c>
      <c r="AR2" s="19" t="n">
        <v>46664</v>
      </c>
      <c r="AS2" s="19" t="n">
        <v>46671</v>
      </c>
      <c r="AT2" s="19" t="n">
        <v>46678</v>
      </c>
      <c r="AU2" s="19" t="n">
        <v>46685</v>
      </c>
      <c r="AV2" s="18" t="n">
        <v>46692</v>
      </c>
      <c r="AW2" s="18" t="n">
        <v>46699</v>
      </c>
      <c r="AX2" s="18" t="n">
        <v>46706</v>
      </c>
      <c r="AY2" s="18" t="n">
        <v>46713</v>
      </c>
      <c r="AZ2" s="18" t="n">
        <v>46720</v>
      </c>
      <c r="BA2" s="19" t="n">
        <v>46727</v>
      </c>
      <c r="BB2" s="19" t="n">
        <v>46734</v>
      </c>
      <c r="BC2" s="19" t="n">
        <v>46741</v>
      </c>
      <c r="BD2" s="19" t="n">
        <v>46748</v>
      </c>
    </row>
    <row r="3" ht="30" customHeight="1">
      <c r="A3" s="20" t="inlineStr">
        <is>
          <t>Season of each week (editable)</t>
        </is>
      </c>
      <c r="B3" s="21" t="n"/>
      <c r="C3" s="21" t="n"/>
      <c r="D3" s="22" t="n"/>
      <c r="E3" s="23" t="inlineStr">
        <is>
          <t>Low</t>
        </is>
      </c>
      <c r="F3" s="23" t="inlineStr">
        <is>
          <t>Low</t>
        </is>
      </c>
      <c r="G3" s="23" t="inlineStr">
        <is>
          <t>Low</t>
        </is>
      </c>
      <c r="H3" s="23" t="inlineStr">
        <is>
          <t>Low</t>
        </is>
      </c>
      <c r="I3" s="23" t="inlineStr">
        <is>
          <t>High</t>
        </is>
      </c>
      <c r="J3" s="23" t="inlineStr">
        <is>
          <t>High</t>
        </is>
      </c>
      <c r="K3" s="23" t="inlineStr">
        <is>
          <t>High</t>
        </is>
      </c>
      <c r="L3" s="23" t="inlineStr">
        <is>
          <t>High</t>
        </is>
      </c>
      <c r="M3" s="23" t="inlineStr">
        <is>
          <t>High</t>
        </is>
      </c>
      <c r="N3" s="23" t="inlineStr">
        <is>
          <t>High</t>
        </is>
      </c>
      <c r="O3" s="23" t="inlineStr">
        <is>
          <t>High</t>
        </is>
      </c>
      <c r="P3" s="23" t="inlineStr">
        <is>
          <t>Dead</t>
        </is>
      </c>
      <c r="Q3" s="23" t="inlineStr">
        <is>
          <t>High</t>
        </is>
      </c>
      <c r="R3" s="23" t="inlineStr">
        <is>
          <t>High</t>
        </is>
      </c>
      <c r="S3" s="23" t="inlineStr">
        <is>
          <t>High</t>
        </is>
      </c>
      <c r="T3" s="23" t="inlineStr">
        <is>
          <t>High</t>
        </is>
      </c>
      <c r="U3" s="23" t="inlineStr">
        <is>
          <t>High</t>
        </is>
      </c>
      <c r="V3" s="23" t="inlineStr">
        <is>
          <t>High</t>
        </is>
      </c>
      <c r="W3" s="23" t="inlineStr">
        <is>
          <t>High</t>
        </is>
      </c>
      <c r="X3" s="23" t="inlineStr">
        <is>
          <t>High</t>
        </is>
      </c>
      <c r="Y3" s="23" t="inlineStr">
        <is>
          <t>High</t>
        </is>
      </c>
      <c r="Z3" s="23" t="inlineStr">
        <is>
          <t>High</t>
        </is>
      </c>
      <c r="AA3" s="23" t="inlineStr">
        <is>
          <t>Low</t>
        </is>
      </c>
      <c r="AB3" s="23" t="inlineStr">
        <is>
          <t>Low</t>
        </is>
      </c>
      <c r="AC3" s="23" t="inlineStr">
        <is>
          <t>Low</t>
        </is>
      </c>
      <c r="AD3" s="23" t="inlineStr">
        <is>
          <t>Dead</t>
        </is>
      </c>
      <c r="AE3" s="23" t="inlineStr">
        <is>
          <t>Dead</t>
        </is>
      </c>
      <c r="AF3" s="23" t="inlineStr">
        <is>
          <t>Low</t>
        </is>
      </c>
      <c r="AG3" s="23" t="inlineStr">
        <is>
          <t>Low</t>
        </is>
      </c>
      <c r="AH3" s="23" t="inlineStr">
        <is>
          <t>Low</t>
        </is>
      </c>
      <c r="AI3" s="23" t="inlineStr">
        <is>
          <t>High</t>
        </is>
      </c>
      <c r="AJ3" s="23" t="inlineStr">
        <is>
          <t>High</t>
        </is>
      </c>
      <c r="AK3" s="23" t="inlineStr">
        <is>
          <t>High</t>
        </is>
      </c>
      <c r="AL3" s="23" t="inlineStr">
        <is>
          <t>High</t>
        </is>
      </c>
      <c r="AM3" s="23" t="inlineStr">
        <is>
          <t>High</t>
        </is>
      </c>
      <c r="AN3" s="23" t="inlineStr">
        <is>
          <t>High</t>
        </is>
      </c>
      <c r="AO3" s="23" t="inlineStr">
        <is>
          <t>High</t>
        </is>
      </c>
      <c r="AP3" s="23" t="inlineStr">
        <is>
          <t>High</t>
        </is>
      </c>
      <c r="AQ3" s="23" t="inlineStr">
        <is>
          <t>High</t>
        </is>
      </c>
      <c r="AR3" s="23" t="inlineStr">
        <is>
          <t>High</t>
        </is>
      </c>
      <c r="AS3" s="23" t="inlineStr">
        <is>
          <t>High</t>
        </is>
      </c>
      <c r="AT3" s="23" t="inlineStr">
        <is>
          <t>High</t>
        </is>
      </c>
      <c r="AU3" s="23" t="inlineStr">
        <is>
          <t>High</t>
        </is>
      </c>
      <c r="AV3" s="23" t="inlineStr">
        <is>
          <t>High</t>
        </is>
      </c>
      <c r="AW3" s="23" t="inlineStr">
        <is>
          <t>High</t>
        </is>
      </c>
      <c r="AX3" s="23" t="inlineStr">
        <is>
          <t>High</t>
        </is>
      </c>
      <c r="AY3" s="23" t="inlineStr">
        <is>
          <t>High</t>
        </is>
      </c>
      <c r="AZ3" s="23" t="inlineStr">
        <is>
          <t>Low</t>
        </is>
      </c>
      <c r="BA3" s="23" t="inlineStr">
        <is>
          <t>Low</t>
        </is>
      </c>
      <c r="BB3" s="23" t="inlineStr">
        <is>
          <t>Low</t>
        </is>
      </c>
      <c r="BC3" s="23" t="inlineStr">
        <is>
          <t>Dead</t>
        </is>
      </c>
      <c r="BD3" s="23" t="inlineStr">
        <is>
          <t>Dead</t>
        </is>
      </c>
    </row>
    <row r="4" ht="30" customHeight="1">
      <c r="A4" s="2" t="inlineStr">
        <is>
          <t>Grand Opening</t>
        </is>
      </c>
      <c r="B4" s="3">
        <f>Campaigns!B2</f>
        <v/>
      </c>
      <c r="C4" s="24">
        <f>Campaigns!C2</f>
        <v/>
      </c>
      <c r="D4" s="24">
        <f>Campaigns!E2</f>
        <v/>
      </c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</row>
    <row r="5" ht="30" customHeight="1">
      <c r="A5" s="7" t="n"/>
      <c r="B5" s="3">
        <f>Campaigns!B3</f>
        <v/>
      </c>
      <c r="C5" s="24">
        <f>Campaigns!C3</f>
        <v/>
      </c>
      <c r="D5" s="24">
        <f>Campaigns!E3</f>
        <v/>
      </c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</row>
    <row r="6" ht="30" customHeight="1">
      <c r="A6" s="7" t="n"/>
      <c r="B6" s="3">
        <f>Campaigns!B4</f>
        <v/>
      </c>
      <c r="C6" s="24">
        <f>Campaigns!C4</f>
        <v/>
      </c>
      <c r="D6" s="24">
        <f>Campaigns!E4</f>
        <v/>
      </c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</row>
    <row r="7" ht="30" customHeight="1">
      <c r="A7" s="7" t="n"/>
      <c r="B7" s="3">
        <f>Campaigns!B5</f>
        <v/>
      </c>
      <c r="C7" s="24">
        <f>Campaigns!C5</f>
        <v/>
      </c>
      <c r="D7" s="24">
        <f>Campaigns!E5</f>
        <v/>
      </c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</row>
    <row r="8" ht="30" customHeight="1">
      <c r="A8" s="7" t="n"/>
      <c r="B8" s="3">
        <f>Campaigns!B6</f>
        <v/>
      </c>
      <c r="C8" s="24">
        <f>Campaigns!C6</f>
        <v/>
      </c>
      <c r="D8" s="24">
        <f>Campaigns!E6</f>
        <v/>
      </c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</row>
    <row r="9" ht="30" customHeight="1">
      <c r="A9" s="2" t="inlineStr">
        <is>
          <t>Digital Advertising</t>
        </is>
      </c>
      <c r="B9" s="3">
        <f>Campaigns!B7</f>
        <v/>
      </c>
      <c r="C9" s="24">
        <f>Campaigns!C7</f>
        <v/>
      </c>
      <c r="D9" s="24">
        <f>Campaigns!E7</f>
        <v/>
      </c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</row>
    <row r="10" ht="30" customHeight="1">
      <c r="A10" s="7" t="n"/>
      <c r="B10" s="3">
        <f>Campaigns!B8</f>
        <v/>
      </c>
      <c r="C10" s="24">
        <f>Campaigns!C8</f>
        <v/>
      </c>
      <c r="D10" s="24">
        <f>Campaigns!E8</f>
        <v/>
      </c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</row>
    <row r="11" ht="30" customHeight="1">
      <c r="A11" s="7" t="n"/>
      <c r="B11" s="3">
        <f>Campaigns!B9</f>
        <v/>
      </c>
      <c r="C11" s="24">
        <f>Campaigns!C9</f>
        <v/>
      </c>
      <c r="D11" s="24">
        <f>Campaigns!E9</f>
        <v/>
      </c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</row>
    <row r="12" ht="30" customHeight="1">
      <c r="A12" s="7" t="n"/>
      <c r="B12" s="3">
        <f>Campaigns!B10</f>
        <v/>
      </c>
      <c r="C12" s="24">
        <f>Campaigns!C10</f>
        <v/>
      </c>
      <c r="D12" s="24">
        <f>Campaigns!E10</f>
        <v/>
      </c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</row>
    <row r="13" ht="30" customHeight="1">
      <c r="A13" s="7" t="n"/>
      <c r="B13" s="3">
        <f>Campaigns!B11</f>
        <v/>
      </c>
      <c r="C13" s="24">
        <f>Campaigns!C11</f>
        <v/>
      </c>
      <c r="D13" s="24">
        <f>Campaigns!E11</f>
        <v/>
      </c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</row>
    <row r="14" ht="30" customHeight="1">
      <c r="A14" s="7" t="n"/>
      <c r="B14" s="3">
        <f>Campaigns!B12</f>
        <v/>
      </c>
      <c r="C14" s="24">
        <f>Campaigns!C12</f>
        <v/>
      </c>
      <c r="D14" s="24">
        <f>Campaigns!E12</f>
        <v/>
      </c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</row>
    <row r="15" ht="30" customHeight="1">
      <c r="A15" s="7" t="n"/>
      <c r="B15" s="3">
        <f>Campaigns!B13</f>
        <v/>
      </c>
      <c r="C15" s="24">
        <f>Campaigns!C13</f>
        <v/>
      </c>
      <c r="D15" s="24">
        <f>Campaigns!E13</f>
        <v/>
      </c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</row>
    <row r="16" ht="30" customHeight="1">
      <c r="A16" s="7" t="n"/>
      <c r="B16" s="3">
        <f>Campaigns!B14</f>
        <v/>
      </c>
      <c r="C16" s="24">
        <f>Campaigns!C14</f>
        <v/>
      </c>
      <c r="D16" s="24">
        <f>Campaigns!E14</f>
        <v/>
      </c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</row>
    <row r="17" ht="30" customHeight="1">
      <c r="A17" s="7" t="n"/>
      <c r="B17" s="3">
        <f>Campaigns!B15</f>
        <v/>
      </c>
      <c r="C17" s="24">
        <f>Campaigns!C15</f>
        <v/>
      </c>
      <c r="D17" s="24">
        <f>Campaigns!E15</f>
        <v/>
      </c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</row>
    <row r="18" ht="30" customHeight="1">
      <c r="A18" s="2" t="inlineStr">
        <is>
          <t>Delivery &amp; Loyalty</t>
        </is>
      </c>
      <c r="B18" s="3">
        <f>Campaigns!B16</f>
        <v/>
      </c>
      <c r="C18" s="24">
        <f>Campaigns!C16</f>
        <v/>
      </c>
      <c r="D18" s="24">
        <f>Campaigns!E16</f>
        <v/>
      </c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</row>
    <row r="19" ht="30" customHeight="1">
      <c r="A19" s="7" t="n"/>
      <c r="B19" s="3">
        <f>Campaigns!B17</f>
        <v/>
      </c>
      <c r="C19" s="24">
        <f>Campaigns!C17</f>
        <v/>
      </c>
      <c r="D19" s="24">
        <f>Campaigns!E17</f>
        <v/>
      </c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</row>
    <row r="20" ht="30" customHeight="1">
      <c r="A20" s="7" t="n"/>
      <c r="B20" s="3">
        <f>Campaigns!B18</f>
        <v/>
      </c>
      <c r="C20" s="24">
        <f>Campaigns!C18</f>
        <v/>
      </c>
      <c r="D20" s="24">
        <f>Campaigns!E18</f>
        <v/>
      </c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</row>
    <row r="21" ht="30" customHeight="1">
      <c r="A21" s="7" t="n"/>
      <c r="B21" s="3">
        <f>Campaigns!B19</f>
        <v/>
      </c>
      <c r="C21" s="24">
        <f>Campaigns!C19</f>
        <v/>
      </c>
      <c r="D21" s="24">
        <f>Campaigns!E19</f>
        <v/>
      </c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</row>
    <row r="22" ht="30" customHeight="1">
      <c r="A22" s="7" t="n"/>
      <c r="B22" s="3">
        <f>Campaigns!B20</f>
        <v/>
      </c>
      <c r="C22" s="24">
        <f>Campaigns!C20</f>
        <v/>
      </c>
      <c r="D22" s="24">
        <f>Campaigns!E20</f>
        <v/>
      </c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</row>
    <row r="23" ht="30" customHeight="1">
      <c r="A23" s="7" t="n"/>
      <c r="B23" s="3">
        <f>Campaigns!B21</f>
        <v/>
      </c>
      <c r="C23" s="24">
        <f>Campaigns!C21</f>
        <v/>
      </c>
      <c r="D23" s="24">
        <f>Campaigns!E21</f>
        <v/>
      </c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</row>
    <row r="24" ht="30" customHeight="1">
      <c r="A24" s="7" t="n"/>
      <c r="B24" s="3">
        <f>Campaigns!B22</f>
        <v/>
      </c>
      <c r="C24" s="24">
        <f>Campaigns!C22</f>
        <v/>
      </c>
      <c r="D24" s="24">
        <f>Campaigns!E22</f>
        <v/>
      </c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</row>
    <row r="25" ht="30" customHeight="1">
      <c r="A25" s="7" t="n"/>
      <c r="B25" s="3">
        <f>Campaigns!B23</f>
        <v/>
      </c>
      <c r="C25" s="24">
        <f>Campaigns!C23</f>
        <v/>
      </c>
      <c r="D25" s="24">
        <f>Campaigns!E23</f>
        <v/>
      </c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</row>
    <row r="26" ht="30" customHeight="1">
      <c r="A26" s="7" t="n"/>
      <c r="B26" s="3">
        <f>Campaigns!B24</f>
        <v/>
      </c>
      <c r="C26" s="24">
        <f>Campaigns!C24</f>
        <v/>
      </c>
      <c r="D26" s="24">
        <f>Campaigns!E24</f>
        <v/>
      </c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</row>
    <row r="27" ht="30" customHeight="1">
      <c r="A27" s="2" t="inlineStr">
        <is>
          <t>Seasonal Dates</t>
        </is>
      </c>
      <c r="B27" s="3">
        <f>Campaigns!B25</f>
        <v/>
      </c>
      <c r="C27" s="24">
        <f>Campaigns!C25</f>
        <v/>
      </c>
      <c r="D27" s="24">
        <f>Campaigns!E25</f>
        <v/>
      </c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</row>
    <row r="28" ht="30" customHeight="1">
      <c r="A28" s="7" t="n"/>
      <c r="B28" s="3">
        <f>Campaigns!B26</f>
        <v/>
      </c>
      <c r="C28" s="24">
        <f>Campaigns!C26</f>
        <v/>
      </c>
      <c r="D28" s="24">
        <f>Campaigns!E26</f>
        <v/>
      </c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</row>
    <row r="29" ht="30" customHeight="1">
      <c r="A29" s="7" t="n"/>
      <c r="B29" s="3">
        <f>Campaigns!B27</f>
        <v/>
      </c>
      <c r="C29" s="24">
        <f>Campaigns!C27</f>
        <v/>
      </c>
      <c r="D29" s="24">
        <f>Campaigns!E27</f>
        <v/>
      </c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</row>
    <row r="30" ht="30" customHeight="1">
      <c r="A30" s="7" t="n"/>
      <c r="B30" s="3">
        <f>Campaigns!B28</f>
        <v/>
      </c>
      <c r="C30" s="24">
        <f>Campaigns!C28</f>
        <v/>
      </c>
      <c r="D30" s="24">
        <f>Campaigns!E28</f>
        <v/>
      </c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</row>
    <row r="31" ht="30" customHeight="1">
      <c r="A31" s="7" t="n"/>
      <c r="B31" s="3">
        <f>Campaigns!B29</f>
        <v/>
      </c>
      <c r="C31" s="24">
        <f>Campaigns!C29</f>
        <v/>
      </c>
      <c r="D31" s="24">
        <f>Campaigns!E29</f>
        <v/>
      </c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</row>
    <row r="32" ht="30" customHeight="1">
      <c r="A32" s="7" t="n"/>
      <c r="B32" s="3">
        <f>Campaigns!B30</f>
        <v/>
      </c>
      <c r="C32" s="24">
        <f>Campaigns!C30</f>
        <v/>
      </c>
      <c r="D32" s="24">
        <f>Campaigns!E30</f>
        <v/>
      </c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</row>
    <row r="33" ht="30" customHeight="1">
      <c r="A33" s="7" t="n"/>
      <c r="B33" s="3">
        <f>Campaigns!B31</f>
        <v/>
      </c>
      <c r="C33" s="24">
        <f>Campaigns!C31</f>
        <v/>
      </c>
      <c r="D33" s="24">
        <f>Campaigns!E31</f>
        <v/>
      </c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</row>
    <row r="34" ht="30" customHeight="1">
      <c r="A34" s="7" t="n"/>
      <c r="B34" s="3">
        <f>Campaigns!B32</f>
        <v/>
      </c>
      <c r="C34" s="24">
        <f>Campaigns!C32</f>
        <v/>
      </c>
      <c r="D34" s="24">
        <f>Campaigns!E32</f>
        <v/>
      </c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</row>
    <row r="35" ht="30" customHeight="1">
      <c r="A35" s="7" t="n"/>
      <c r="B35" s="3">
        <f>Campaigns!B33</f>
        <v/>
      </c>
      <c r="C35" s="24">
        <f>Campaigns!C33</f>
        <v/>
      </c>
      <c r="D35" s="24">
        <f>Campaigns!E33</f>
        <v/>
      </c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</row>
    <row r="36" ht="30" customHeight="1">
      <c r="A36" s="7" t="n"/>
      <c r="B36" s="3">
        <f>Campaigns!B34</f>
        <v/>
      </c>
      <c r="C36" s="24">
        <f>Campaigns!C34</f>
        <v/>
      </c>
      <c r="D36" s="24">
        <f>Campaigns!E34</f>
        <v/>
      </c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</row>
    <row r="37" ht="30" customHeight="1">
      <c r="A37" s="2" t="inlineStr">
        <is>
          <t>Community &amp; Partnerships</t>
        </is>
      </c>
      <c r="B37" s="3">
        <f>Campaigns!B35</f>
        <v/>
      </c>
      <c r="C37" s="24">
        <f>Campaigns!C35</f>
        <v/>
      </c>
      <c r="D37" s="24">
        <f>Campaigns!E35</f>
        <v/>
      </c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</row>
    <row r="38" ht="30" customHeight="1">
      <c r="A38" s="7" t="n"/>
      <c r="B38" s="3">
        <f>Campaigns!B36</f>
        <v/>
      </c>
      <c r="C38" s="24">
        <f>Campaigns!C36</f>
        <v/>
      </c>
      <c r="D38" s="24">
        <f>Campaigns!E36</f>
        <v/>
      </c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</row>
    <row r="39" ht="30" customHeight="1">
      <c r="A39" s="7" t="n"/>
      <c r="B39" s="3">
        <f>Campaigns!B37</f>
        <v/>
      </c>
      <c r="C39" s="24">
        <f>Campaigns!C37</f>
        <v/>
      </c>
      <c r="D39" s="24">
        <f>Campaigns!E37</f>
        <v/>
      </c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</row>
    <row r="40" ht="30" customHeight="1">
      <c r="A40" s="7" t="n"/>
      <c r="B40" s="3">
        <f>Campaigns!B38</f>
        <v/>
      </c>
      <c r="C40" s="24">
        <f>Campaigns!C38</f>
        <v/>
      </c>
      <c r="D40" s="24">
        <f>Campaigns!E38</f>
        <v/>
      </c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</row>
    <row r="41" ht="30" customHeight="1">
      <c r="A41" s="7" t="n"/>
      <c r="B41" s="3">
        <f>Campaigns!B39</f>
        <v/>
      </c>
      <c r="C41" s="24">
        <f>Campaigns!C39</f>
        <v/>
      </c>
      <c r="D41" s="24">
        <f>Campaigns!E39</f>
        <v/>
      </c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</row>
    <row r="42" ht="30" customHeight="1">
      <c r="A42" s="7" t="n"/>
      <c r="B42" s="3">
        <f>Campaigns!B40</f>
        <v/>
      </c>
      <c r="C42" s="24">
        <f>Campaigns!C40</f>
        <v/>
      </c>
      <c r="D42" s="24">
        <f>Campaigns!E40</f>
        <v/>
      </c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</row>
    <row r="43" ht="30" customHeight="1">
      <c r="A43" s="2" t="inlineStr">
        <is>
          <t>Product &amp; Menu</t>
        </is>
      </c>
      <c r="B43" s="3">
        <f>Campaigns!B41</f>
        <v/>
      </c>
      <c r="C43" s="24">
        <f>Campaigns!C41</f>
        <v/>
      </c>
      <c r="D43" s="24">
        <f>Campaigns!E41</f>
        <v/>
      </c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</row>
    <row r="44" ht="30" customHeight="1">
      <c r="A44" s="7" t="n"/>
      <c r="B44" s="3">
        <f>Campaigns!B42</f>
        <v/>
      </c>
      <c r="C44" s="24">
        <f>Campaigns!C42</f>
        <v/>
      </c>
      <c r="D44" s="24">
        <f>Campaigns!E42</f>
        <v/>
      </c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</row>
    <row r="45" ht="30" customHeight="1">
      <c r="A45" s="2" t="inlineStr">
        <is>
          <t>Low &amp; Dead Season</t>
        </is>
      </c>
      <c r="B45" s="3">
        <f>Campaigns!B43</f>
        <v/>
      </c>
      <c r="C45" s="24">
        <f>Campaigns!C43</f>
        <v/>
      </c>
      <c r="D45" s="24">
        <f>Campaigns!E43</f>
        <v/>
      </c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</row>
    <row r="46" ht="30" customHeight="1">
      <c r="A46" s="7" t="n"/>
      <c r="B46" s="3">
        <f>Campaigns!B44</f>
        <v/>
      </c>
      <c r="C46" s="24">
        <f>Campaigns!C44</f>
        <v/>
      </c>
      <c r="D46" s="24">
        <f>Campaigns!E44</f>
        <v/>
      </c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</row>
    <row r="47" ht="30" customHeight="1">
      <c r="A47" s="7" t="n"/>
      <c r="B47" s="3">
        <f>Campaigns!B45</f>
        <v/>
      </c>
      <c r="C47" s="24">
        <f>Campaigns!C45</f>
        <v/>
      </c>
      <c r="D47" s="24">
        <f>Campaigns!E45</f>
        <v/>
      </c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</row>
    <row r="48" ht="30" customHeight="1">
      <c r="A48" s="7" t="n"/>
      <c r="B48" s="3">
        <f>Campaigns!B46</f>
        <v/>
      </c>
      <c r="C48" s="24">
        <f>Campaigns!C46</f>
        <v/>
      </c>
      <c r="D48" s="24">
        <f>Campaigns!E46</f>
        <v/>
      </c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5" t="n"/>
      <c r="AR48" s="25" t="n"/>
      <c r="AS48" s="25" t="n"/>
      <c r="AT48" s="25" t="n"/>
      <c r="AU48" s="25" t="n"/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</row>
    <row r="49" ht="30" customHeight="1">
      <c r="A49" s="7" t="n"/>
      <c r="B49" s="3">
        <f>Campaigns!B47</f>
        <v/>
      </c>
      <c r="C49" s="24">
        <f>Campaigns!C47</f>
        <v/>
      </c>
      <c r="D49" s="24">
        <f>Campaigns!E47</f>
        <v/>
      </c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5" t="n"/>
      <c r="AR49" s="25" t="n"/>
      <c r="AS49" s="25" t="n"/>
      <c r="AT49" s="25" t="n"/>
      <c r="AU49" s="25" t="n"/>
      <c r="AV49" s="25" t="n"/>
      <c r="AW49" s="25" t="n"/>
      <c r="AX49" s="25" t="n"/>
      <c r="AY49" s="25" t="n"/>
      <c r="AZ49" s="25" t="n"/>
      <c r="BA49" s="25" t="n"/>
      <c r="BB49" s="25" t="n"/>
      <c r="BC49" s="25" t="n"/>
      <c r="BD49" s="25" t="n"/>
    </row>
    <row r="50" ht="30" customHeight="1">
      <c r="A50" s="7" t="n"/>
      <c r="B50" s="3">
        <f>Campaigns!B48</f>
        <v/>
      </c>
      <c r="C50" s="24">
        <f>Campaigns!C48</f>
        <v/>
      </c>
      <c r="D50" s="24">
        <f>Campaigns!E48</f>
        <v/>
      </c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</row>
    <row r="52">
      <c r="A52" s="12" t="inlineStr">
        <is>
          <t>Legend</t>
        </is>
      </c>
    </row>
    <row r="53">
      <c r="B53" s="26" t="inlineStr">
        <is>
          <t>High season (34 weeks)</t>
        </is>
      </c>
    </row>
    <row r="54">
      <c r="B54" s="27" t="inlineStr">
        <is>
          <t>Low season (13 weeks)</t>
        </is>
      </c>
    </row>
    <row r="55">
      <c r="B55" s="28" t="inlineStr">
        <is>
          <t>Dead season (5 weeks)</t>
        </is>
      </c>
    </row>
    <row r="57">
      <c r="A57" s="13" t="inlineStr">
        <is>
          <t>Solid bar = campaign running that week; its color is the season of that week. Pale color = season of the weeks where the campaign is not running.</t>
        </is>
      </c>
    </row>
    <row r="58">
      <c r="A58" s="13" t="inlineStr">
        <is>
          <t>The Season row (row 3) is editable: type High, Low or Dead in any week and the whole chart recolors. Campaign names and dates are read from the 'Campaigns' sheet.</t>
        </is>
      </c>
    </row>
    <row r="59">
      <c r="A59" s="13" t="inlineStr">
        <is>
          <t>Assumption: seasons follow Bogotá's academic and holiday calendar for a store serving students and office workers (they are not measured sales). High = semesters in session; Low = post-holiday, exam and between-semester weeks and year-end wind-down; Dead = Holy Week, mid-year holidays, Christmas-New Year.</t>
        </is>
      </c>
    </row>
  </sheetData>
  <mergeCells count="24">
    <mergeCell ref="I1:L1"/>
    <mergeCell ref="AV1:AZ1"/>
    <mergeCell ref="AI1:AM1"/>
    <mergeCell ref="C1:C2"/>
    <mergeCell ref="A4:A8"/>
    <mergeCell ref="BA1:BD1"/>
    <mergeCell ref="AR1:AU1"/>
    <mergeCell ref="M1:Q1"/>
    <mergeCell ref="A18:A26"/>
    <mergeCell ref="R1:U1"/>
    <mergeCell ref="V1:Z1"/>
    <mergeCell ref="A45:A50"/>
    <mergeCell ref="B1:B2"/>
    <mergeCell ref="AA1:AD1"/>
    <mergeCell ref="A37:A42"/>
    <mergeCell ref="A9:A17"/>
    <mergeCell ref="E1:H1"/>
    <mergeCell ref="AN1:AQ1"/>
    <mergeCell ref="A27:A36"/>
    <mergeCell ref="A43:A44"/>
    <mergeCell ref="A3:D3"/>
    <mergeCell ref="D1:D2"/>
    <mergeCell ref="AE1:AH1"/>
    <mergeCell ref="A1:A2"/>
  </mergeCells>
  <conditionalFormatting sqref="E4:BD50">
    <cfRule type="expression" priority="1" dxfId="0" stopIfTrue="1">
      <formula>AND(E$2&lt;$D4,E$2+7&gt;$C4,E$3="High")</formula>
    </cfRule>
    <cfRule type="expression" priority="2" dxfId="1" stopIfTrue="1">
      <formula>AND(E$2&lt;$D4,E$2+7&gt;$C4,E$3="Low")</formula>
    </cfRule>
    <cfRule type="expression" priority="3" dxfId="2" stopIfTrue="1">
      <formula>AND(E$2&lt;$D4,E$2+7&gt;$C4,E$3="Dead")</formula>
    </cfRule>
    <cfRule type="expression" priority="4" dxfId="3" stopIfTrue="1">
      <formula>E$3="High"</formula>
    </cfRule>
    <cfRule type="expression" priority="5" dxfId="4" stopIfTrue="1">
      <formula>E$3="Low"</formula>
    </cfRule>
    <cfRule type="expression" priority="6" dxfId="5" stopIfTrue="1">
      <formula>E$3="Dead"</formula>
    </cfRule>
  </conditionalFormatting>
  <conditionalFormatting sqref="E3:BD3">
    <cfRule type="expression" priority="7" dxfId="6" stopIfTrue="1">
      <formula>E$3="High"</formula>
    </cfRule>
    <cfRule type="expression" priority="8" dxfId="7" stopIfTrue="1">
      <formula>E$3="Low"</formula>
    </cfRule>
    <cfRule type="expression" priority="9" dxfId="8" stopIfTrue="1">
      <formula>E$3="Dead"</formula>
    </cfRule>
  </conditionalFormatting>
  <dataValidations count="1">
    <dataValidation sqref="E3:BD3" showDropDown="0" showInputMessage="0" showErrorMessage="0" allowBlank="0" type="list">
      <formula1>"High,Low,Dead"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2026-09-19T21:49:05Z</dcterms:created>
  <dcterms:modified xmlns:dcterms="http://purl.org/dc/terms/" xmlns:xsi="http://www.w3.org/2001/XMLSchema-instance" xsi:type="dcterms:W3CDTF">2026-09-19T21:49:05Z</dcterms:modified>
</cp:coreProperties>
</file>