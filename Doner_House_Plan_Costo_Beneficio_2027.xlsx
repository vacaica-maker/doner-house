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Reporte Costo-Beneficio" sheetId="2" state="visible" r:id="rId4"/>
    <sheet name="Supues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<sst xmlns="http://schemas.openxmlformats.org/spreadsheetml/2006/main" count="288" uniqueCount="140">
  <si>
    <t xml:space="preserve">RESUMEN EJECUTIVO — COSTO / BENEFICIO POR ÁREA (Año 2027)</t>
  </si>
  <si>
    <t xml:space="preserve">Área</t>
  </si>
  <si>
    <t xml:space="preserve">Inversión Anual</t>
  </si>
  <si>
    <t xml:space="preserve">Ingreso Anual</t>
  </si>
  <si>
    <t xml:space="preserve">Beneficio Neto</t>
  </si>
  <si>
    <t xml:space="preserve">ROI (%)</t>
  </si>
  <si>
    <t xml:space="preserve">ROI (x)</t>
  </si>
  <si>
    <t xml:space="preserve">LANZAMIENTO</t>
  </si>
  <si>
    <t xml:space="preserve">PUBLICIDAD DIGITAL</t>
  </si>
  <si>
    <t xml:space="preserve">DELIVERY Y FIDELIZACIÓN</t>
  </si>
  <si>
    <t xml:space="preserve">FECHAS ESPECIALES</t>
  </si>
  <si>
    <t xml:space="preserve">COMUNIDAD Y ALIANZAS</t>
  </si>
  <si>
    <t xml:space="preserve">PRODUCTO Y MENÚ</t>
  </si>
  <si>
    <t xml:space="preserve">TEMPORADA BAJA</t>
  </si>
  <si>
    <t xml:space="preserve">TOTAL GENERAL</t>
  </si>
  <si>
    <t xml:space="preserve">DÖNER HOUSE — PLAN DE COSTO / BENEFICIO DE MARKETING 2027 (FORECAST)</t>
  </si>
  <si>
    <t xml:space="preserve">Cifras en COP. Revenue = Investment x ROAS esperado x Índice de estacionalidad (ver hoja 'Supuestos'). ROI = (Revenue - Investment) / Investment.</t>
  </si>
  <si>
    <t xml:space="preserve">Canal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</si>
  <si>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</si>
  <si>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</si>
  <si>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</si>
  <si>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</si>
  <si>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</si>
  <si>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</si>
  <si>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</si>
  <si>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</si>
  <si>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</si>
  <si>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</si>
  <si>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</si>
  <si>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</si>
  <si>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ANUAL</t>
  </si>
  <si>
    <t xml:space="preserve">Forecast
Investment</t>
  </si>
  <si>
    <t xml:space="preserve">Forecast
Revenue</t>
  </si>
  <si>
    <t xml:space="preserve">ROI</t>
  </si>
  <si>
    <t xml:space="preserve">Investment</t>
  </si>
  <si>
    <t xml:space="preserve">Revenue</t>
  </si>
  <si>
    <t xml:space="preserve">LANZAMIENTO — Total</t>
  </si>
  <si>
    <t xml:space="preserve">Prensa y Redes (Teaser + PR + Promo apertura)</t>
  </si>
  <si>
    <t xml:space="preserve">Volantes, degustaciones y garantía de satisfacción</t>
  </si>
  <si>
    <t xml:space="preserve">PUBLICIDAD DIGITAL — Total</t>
  </si>
  <si>
    <t xml:space="preserve">Contenido orgánico IG/TikTok/Facebook</t>
  </si>
  <si>
    <t xml:space="preserve">Google Business Profile (SEO local)</t>
  </si>
  <si>
    <t xml:space="preserve">Meta Ads pagado (geo-segmentado)</t>
  </si>
  <si>
    <t xml:space="preserve">Influencers y bloggers gastronómicos</t>
  </si>
  <si>
    <t xml:space="preserve">QR en empaques/recibos + referidos</t>
  </si>
  <si>
    <t xml:space="preserve">WhatsApp Business (catálogo + broadcast)</t>
  </si>
  <si>
    <t xml:space="preserve">Reto TikTok "el wrap perfecto"</t>
  </si>
  <si>
    <t xml:space="preserve">DELIVERY Y FIDELIZACIÓN — Total</t>
  </si>
  <si>
    <t xml:space="preserve">Lanzamiento apps delivery (dcto. introductorio)</t>
  </si>
  <si>
    <t xml:space="preserve">Tarjeta de lealtad (10º döner gratis)</t>
  </si>
  <si>
    <t xml:space="preserve">Descuento estudiantes/oficinistas (10%)</t>
  </si>
  <si>
    <t xml:space="preserve">Combo quincena (upgrade gratis 15 y 30)</t>
  </si>
  <si>
    <t xml:space="preserve">Almuerzos corporativos (pedidos por WhatsApp)</t>
  </si>
  <si>
    <t xml:space="preserve">Refiere y gana (papas gratis)</t>
  </si>
  <si>
    <t xml:space="preserve">Temporada de lluvias (envío gratis)</t>
  </si>
  <si>
    <t xml:space="preserve">FECHAS ESPECIALES — Total</t>
  </si>
  <si>
    <t xml:space="preserve">San Valentín (Comparte un Döner)</t>
  </si>
  <si>
    <t xml:space="preserve">Semana Santa (promo domicilios)</t>
  </si>
  <si>
    <t xml:space="preserve">Día de la Madre (Combo Familiar)</t>
  </si>
  <si>
    <t xml:space="preserve">Día del Padre (Combo Grande especial)</t>
  </si>
  <si>
    <t xml:space="preserve">Aniversario 6 meses (upgrade gratis)</t>
  </si>
  <si>
    <t xml:space="preserve">Amor y Amistad (Combo Amigos)</t>
  </si>
  <si>
    <t xml:space="preserve">Puente + Halloween (promo apps)</t>
  </si>
  <si>
    <t xml:space="preserve">Puente noviembre + Black Friday</t>
  </si>
  <si>
    <t xml:space="preserve">Navidad y fin de año (Party Pack)</t>
  </si>
  <si>
    <t xml:space="preserve">COMUNIDAD Y ALIANZAS — Total</t>
  </si>
  <si>
    <t xml:space="preserve">Semana de bienvenida universitaria</t>
  </si>
  <si>
    <t xml:space="preserve">Alianzas gimnasios y coworking</t>
  </si>
  <si>
    <t xml:space="preserve">Degustación de barrio (Calle 72)</t>
  </si>
  <si>
    <t xml:space="preserve">Patrocinio torneo de fútbol amateur</t>
  </si>
  <si>
    <t xml:space="preserve">Donación comunitaria (1x10 al banco de alimentos)</t>
  </si>
  <si>
    <t xml:space="preserve">PRODUCTO Y MENÚ — Total</t>
  </si>
  <si>
    <t xml:space="preserve">Encuesta + döner picante edición limitada</t>
  </si>
  <si>
    <t xml:space="preserve">TEMPORADA BAJA — Total</t>
  </si>
  <si>
    <t xml:space="preserve">Happy Hour entre semana (3-5pm)</t>
  </si>
  <si>
    <t xml:space="preserve">Envío gratis vacaciones de mitad de año</t>
  </si>
  <si>
    <t xml:space="preserve">TOTAL MEDIA INVESTMENT</t>
  </si>
  <si>
    <t xml:space="preserve">TOTAL NET REVENUE (P&amp;L)</t>
  </si>
  <si>
    <t xml:space="preserve">% REVENUE vs INVESTMENT</t>
  </si>
  <si>
    <t xml:space="preserve">ROI ESTIMADO</t>
  </si>
  <si>
    <t xml:space="preserve">SUPUESTOS Y PRESUPUESTO DE MARKETING — DÖNER HOUSE 2027</t>
  </si>
  <si>
    <t xml:space="preserve">Ticket promedio (COP):</t>
  </si>
  <si>
    <t xml:space="preserve">Supuesto propio: precio promedio de un Combo Döner individual en el mercado de Bogotá (rango observado COP 22.000-32.000).</t>
  </si>
  <si>
    <t xml:space="preserve">Índice de estacionalidad mensual (multiplicador de demanda esperado)</t>
  </si>
  <si>
    <t xml:space="preserve">Mes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</si>
  <si>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</si>
  <si>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</si>
  <si>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</si>
  <si>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</si>
  <si>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</si>
  <si>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</si>
  <si>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</si>
  <si>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</si>
  <si>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</si>
  <si>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</si>
  <si>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</si>
  <si>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</si>
  <si>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Índice</t>
  </si>
  <si>
    <t xml:space="preserve">Justificación</t>
  </si>
  <si>
    <t xml:space="preserve">Ene: apertura; Feb: San Valentín + bienvenida universitaria; Mar-Abr: temporada baja; May: Día de la Madre; Jun: Día del Padre / receso escolar; Jul: aniversario; Ago: bienvenida 2 + torneo; Sep: Amor y Amistad; Oct: puente/Halloween/lluvias; Nov: puente + Black Friday; Dic: Navidad y fin de año.</t>
  </si>
  <si>
    <t xml:space="preserve">Presupuesto y supuestos por canal (según el Plan de Campañas 2027)</t>
  </si>
  <si>
    <t xml:space="preserve">Presupuesto
Anual (COP)</t>
  </si>
  <si>
    <t xml:space="preserve">ROAS
esperado (x)</t>
  </si>
  <si>
    <t xml:space="preserve">Meses
Activos</t>
  </si>
  <si>
    <t xml:space="preserve">Justificación / fuente (Plan de Campañas)</t>
  </si>
  <si>
    <t xml:space="preserve">Teaser IG/TikTok, prensa local y semana de apertura (Plan: 4-25 ene)</t>
  </si>
  <si>
    <t xml:space="preserve">Flyers en oficinas/universidades y señalización de garantía (Plan: 18 ene-1 feb)</t>
  </si>
  <si>
    <t xml:space="preserve">Always-on todo el año (Plan: 4 ene-31 dic)</t>
  </si>
  <si>
    <t xml:space="preserve">Fotos, horarios, menú y reseñas todo el año; costo bajo, alta intención de compra</t>
  </si>
  <si>
    <t xml:space="preserve">Radio alrededor de la tienda (Plan: 18 ene-31 dic)</t>
  </si>
  <si>
    <t xml:space="preserve">Ola 1 (feb) y ola 2 (ago) de colaboraciones en Bogotá</t>
  </si>
  <si>
    <t xml:space="preserve">QR con 10% dcto próxima compra (Plan: 15 feb-31 dic)</t>
  </si>
  <si>
    <t xml:space="preserve">Catálogo y oferta semanal (Plan: 22 feb-31 dic)</t>
  </si>
  <si>
    <t xml:space="preserve">Reto con premio (Plan: 27 sep-18 oct)</t>
  </si>
  <si>
    <t xml:space="preserve">Rappi, Uber Eats y DiDi Food con descuento de lanzamiento (Plan: 25 ene-22 feb)</t>
  </si>
  <si>
    <t xml:space="preserve">Costo del beneficio de fidelización (Plan: 1 feb-31 dic)</t>
  </si>
  <si>
    <t xml:space="preserve">Semestre 1 (feb-may) y semestre 2 (ago-nov)</t>
  </si>
  <si>
    <t xml:space="preserve">Fines de semana de quincena (Plan: 1 mar-31 dic)</t>
  </si>
  <si>
    <t xml:space="preserve">Pedidos al por mayor para oficinas cercanas (Plan: 15 mar-31 dic)</t>
  </si>
  <si>
    <t xml:space="preserve">Programa de referidos (Plan: 12 abr-5 jul)</t>
  </si>
  <si>
    <t xml:space="preserve">Impulso a domicilios en días de lluvia (Plan: 18 oct-29 nov)</t>
  </si>
  <si>
    <t xml:space="preserve">14 feb</t>
  </si>
  <si>
    <t xml:space="preserve">22-28 mar</t>
  </si>
  <si>
    <t xml:space="preserve">9 may</t>
  </si>
  <si>
    <t xml:space="preserve">20 jun</t>
  </si>
  <si>
    <t xml:space="preserve">4-12 jul</t>
  </si>
  <si>
    <t xml:space="preserve">18 sep</t>
  </si>
  <si>
    <t xml:space="preserve">11 oct-1 nov</t>
  </si>
  <si>
    <t xml:space="preserve">8-29 nov</t>
  </si>
  <si>
    <t xml:space="preserve">13-27 dic</t>
  </si>
  <si>
    <t xml:space="preserve">Stand con muestras gratis, semestre 1 y 2</t>
  </si>
  <si>
    <t xml:space="preserve">Descuento mostrando carnet (Plan: 8 mar-31 may)</t>
  </si>
  <si>
    <t xml:space="preserve">Show en vivo de corte de döner (17-24 may)</t>
  </si>
  <si>
    <t xml:space="preserve">Combos por equipo (Plan: 16 ago-13 sep)</t>
  </si>
  <si>
    <t xml:space="preserve">Impacto social/branding (Plan: 4 oct-1 nov)</t>
  </si>
  <si>
    <t xml:space="preserve">Votación IG + lanzamiento edición limitada (Plan: 21 jun-9 ago)</t>
  </si>
  <si>
    <t xml:space="preserve">Combo con descuento en horas valle (Plan: 1 mar-26 abr)</t>
  </si>
  <si>
    <t xml:space="preserve">Pedidos &gt; $40.000 (Plan: 21 jun-12 jul)</t>
  </si>
  <si>
    <t xml:space="preserve">TOTAL</t>
  </si>
  <si>
    <t xml:space="preserve">Presupuesto anual de marketing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</si>
</sst>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0.00\x"/>
    <numFmt numFmtId="168" formatCode="0.0\x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F4B183"/>
        <bgColor rgb="FFFF99CC"/>
      </patternFill>
    </fill>
    <fill>
      <patternFill patternType="solid">
        <fgColor rgb="FF8EA9C1"/>
        <bgColor rgb="FF9999FF"/>
      </patternFill>
    </fill>
    <fill>
      <patternFill patternType="solid">
        <fgColor rgb="FF70AD47"/>
        <bgColor rgb="FF878787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FFCC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E699"/>
      <rgbColor rgb="FF99CCFF"/>
      <rgbColor rgb="FFFF99CC"/>
      <rgbColor rgb="FFCC99FF"/>
      <rgbColor rgb="FFF4B183"/>
      <rgbColor rgb="FF4A7EBB"/>
      <rgbColor rgb="FF33CCCC"/>
      <rgbColor rgb="FF70AD47"/>
      <rgbColor rgb="FFFFC000"/>
      <rgbColor rgb="FFFF9900"/>
      <rgbColor rgb="FFFF6600"/>
      <rgbColor rgb="FF595959"/>
      <rgbColor rgb="FF8EA9C1"/>
      <rgbColor rgb="FF20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Inversión vs. Ingreso esperado por área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Ejecutivo'!B3</c:f>
              <c:strCache>
                <c:ptCount val="1"/>
                <c:pt idx="0">
                  <c:v>Inversión Anual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Ejecutivo'!$A$4:$A$10</c:f>
              <c:strCache>
                <c:ptCount val="7"/>
                <c:pt idx="0">
                  <c:v>LANZAMIENTO</c:v>
                </c:pt>
                <c:pt idx="1">
                  <c:v>PUBLICIDAD DIGITAL</c:v>
                </c:pt>
                <c:pt idx="2">
                  <c:v>DELIVERY Y FIDELIZACIÓN</c:v>
                </c:pt>
                <c:pt idx="3">
                  <c:v>FECHAS ESPECIALES</c:v>
                </c:pt>
                <c:pt idx="4">
                  <c:v>COMUNIDAD Y ALIANZAS</c:v>
                </c:pt>
                <c:pt idx="5">
                  <c:v>PRODUCTO Y MENÚ</c:v>
                </c:pt>
                <c:pt idx="6">
                  <c:v>TEMPORADA BAJA</c:v>
                </c:pt>
              </c:strCache>
            </c:strRef>
          </c:cat>
          <c:val>
            <c:numRef>
              <c:f>'Resumen Ejecutivo'!$B$4:$B$10</c:f>
              <c:numCache>
                <c:formatCode>\$#,##0</c:formatCode>
                <c:ptCount val="7"/>
                <c:pt idx="0">
                  <c:v>5000000</c:v>
                </c:pt>
                <c:pt idx="1">
                  <c:v>55100000</c:v>
                </c:pt>
                <c:pt idx="2">
                  <c:v>47800000</c:v>
                </c:pt>
                <c:pt idx="3">
                  <c:v>20700000</c:v>
                </c:pt>
                <c:pt idx="4">
                  <c:v>10800000</c:v>
                </c:pt>
                <c:pt idx="5">
                  <c:v>3000000</c:v>
                </c:pt>
                <c:pt idx="6">
                  <c:v>3300000</c:v>
                </c:pt>
              </c:numCache>
            </c:numRef>
          </c:val>
        </c:ser>
        <c:ser>
          <c:idx val="1"/>
          <c:order val="1"/>
          <c:tx>
            <c:strRef>
              <c:f>'Resumen Ejecutivo'!C3</c:f>
              <c:strCache>
                <c:ptCount val="1"/>
                <c:pt idx="0">
                  <c:v>Ingreso Anual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Ejecutivo'!$A$4:$A$10</c:f>
              <c:strCache>
                <c:ptCount val="7"/>
                <c:pt idx="0">
                  <c:v>LANZAMIENTO</c:v>
                </c:pt>
                <c:pt idx="1">
                  <c:v>PUBLICIDAD DIGITAL</c:v>
                </c:pt>
                <c:pt idx="2">
                  <c:v>DELIVERY Y FIDELIZACIÓN</c:v>
                </c:pt>
                <c:pt idx="3">
                  <c:v>FECHAS ESPECIALES</c:v>
                </c:pt>
                <c:pt idx="4">
                  <c:v>COMUNIDAD Y ALIANZAS</c:v>
                </c:pt>
                <c:pt idx="5">
                  <c:v>PRODUCTO Y MENÚ</c:v>
                </c:pt>
                <c:pt idx="6">
                  <c:v>TEMPORADA BAJA</c:v>
                </c:pt>
              </c:strCache>
            </c:strRef>
          </c:cat>
          <c:val>
            <c:numRef>
              <c:f>'Resumen Ejecutivo'!$C$4:$C$10</c:f>
              <c:numCache>
                <c:formatCode>\$#,##0</c:formatCode>
                <c:ptCount val="7"/>
                <c:pt idx="0">
                  <c:v>19025000</c:v>
                </c:pt>
                <c:pt idx="1">
                  <c:v>221390909.090909</c:v>
                </c:pt>
                <c:pt idx="2">
                  <c:v>176611227.272727</c:v>
                </c:pt>
                <c:pt idx="3">
                  <c:v>90945000</c:v>
                </c:pt>
                <c:pt idx="4">
                  <c:v>29528750</c:v>
                </c:pt>
                <c:pt idx="5">
                  <c:v>9000000</c:v>
                </c:pt>
                <c:pt idx="6">
                  <c:v>7099500</c:v>
                </c:pt>
              </c:numCache>
            </c:numRef>
          </c:val>
        </c:ser>
        <c:gapWidth val="150"/>
        <c:overlap val="0"/>
        <c:axId val="56811884"/>
        <c:axId val="51054810"/>
      </c:barChart>
      <c:catAx>
        <c:axId val="568118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54810"/>
        <c:crosses val="autoZero"/>
        <c:auto val="1"/>
        <c:lblAlgn val="ctr"/>
        <c:lblOffset val="100"/>
        <c:noMultiLvlLbl val="0"/>
      </c:catAx>
      <c:valAx>
        <c:axId val="51054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11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ROI (%) por área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'Resumen Ejecutivo'!E3</c:f>
              <c:strCache>
                <c:ptCount val="1"/>
                <c:pt idx="0">
                  <c:v>ROI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Ejecutivo'!$A$4:$A$10</c:f>
              <c:strCache>
                <c:ptCount val="7"/>
                <c:pt idx="0">
                  <c:v>LANZAMIENTO</c:v>
                </c:pt>
                <c:pt idx="1">
                  <c:v>PUBLICIDAD DIGITAL</c:v>
                </c:pt>
                <c:pt idx="2">
                  <c:v>DELIVERY Y FIDELIZACIÓN</c:v>
                </c:pt>
                <c:pt idx="3">
                  <c:v>FECHAS ESPECIALES</c:v>
                </c:pt>
                <c:pt idx="4">
                  <c:v>COMUNIDAD Y ALIANZAS</c:v>
                </c:pt>
                <c:pt idx="5">
                  <c:v>PRODUCTO Y MENÚ</c:v>
                </c:pt>
                <c:pt idx="6">
                  <c:v>TEMPORADA BAJA</c:v>
                </c:pt>
              </c:strCache>
            </c:strRef>
          </c:cat>
          <c:val>
            <c:numRef>
              <c:f>'Resumen Ejecutivo'!$E$4:$E$10</c:f>
              <c:numCache>
                <c:formatCode>0.0%</c:formatCode>
                <c:ptCount val="7"/>
                <c:pt idx="0">
                  <c:v>2.805</c:v>
                </c:pt>
                <c:pt idx="1">
                  <c:v>3.01798383105098</c:v>
                </c:pt>
                <c:pt idx="2">
                  <c:v>2.69479554963865</c:v>
                </c:pt>
                <c:pt idx="3">
                  <c:v>3.39347826086957</c:v>
                </c:pt>
                <c:pt idx="4">
                  <c:v>1.73414351851852</c:v>
                </c:pt>
                <c:pt idx="5">
                  <c:v>2</c:v>
                </c:pt>
                <c:pt idx="6">
                  <c:v>1.15136363636364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717954"/>
        <c:axId val="68932931"/>
      </c:lineChart>
      <c:catAx>
        <c:axId val="337179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32931"/>
        <c:crosses val="autoZero"/>
        <c:auto val="1"/>
        <c:lblAlgn val="ctr"/>
        <c:lblOffset val="100"/>
        <c:noMultiLvlLbl val="0"/>
      </c:catAx>
      <c:valAx>
        <c:axId val="68932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ROI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17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448200</xdr:colOff>
      <xdr:row>30</xdr:row>
      <xdr:rowOff>1440</xdr:rowOff>
    </xdr:to>
    <xdr:graphicFrame>
      <xdr:nvGraphicFramePr>
        <xdr:cNvPr id="0" name="Chart 1"/>
        <xdr:cNvGraphicFramePr/>
      </xdr:nvGraphicFramePr>
      <xdr:xfrm>
        <a:off x="0" y="26100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6</xdr:col>
      <xdr:colOff>448200</xdr:colOff>
      <xdr:row>49</xdr:row>
      <xdr:rowOff>1080</xdr:rowOff>
    </xdr:to>
    <xdr:graphicFrame>
      <xdr:nvGraphicFramePr>
        <xdr:cNvPr id="1" name="Chart 2"/>
        <xdr:cNvGraphicFramePr/>
      </xdr:nvGraphicFramePr>
      <xdr:xfrm>
        <a:off x="0" y="6229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f aca="false">'Reporte Costo-Beneficio'!AM6</f>
        <v>5000000</v>
      </c>
      <c r="C4" s="4" t="n">
        <f aca="false">'Reporte Costo-Beneficio'!AN6</f>
        <v>19025000</v>
      </c>
      <c r="D4" s="5" t="n">
        <f aca="false">C4-B4</f>
        <v>14025000</v>
      </c>
      <c r="E4" s="6" t="n">
        <f aca="false">IFERROR(D4/B4,"-")</f>
        <v>2.805</v>
      </c>
      <c r="F4" s="7" t="n">
        <f aca="false">IFERROR(C4/B4,"-")</f>
        <v>3.805</v>
      </c>
    </row>
    <row r="5" customFormat="false" ht="15" hidden="false" customHeight="false" outlineLevel="0" collapsed="false">
      <c r="A5" s="3" t="s">
        <v>8</v>
      </c>
      <c r="B5" s="4" t="n">
        <f aca="false">'Reporte Costo-Beneficio'!AM9</f>
        <v>55100000</v>
      </c>
      <c r="C5" s="4" t="n">
        <f aca="false">'Reporte Costo-Beneficio'!AN9</f>
        <v>221390909.090909</v>
      </c>
      <c r="D5" s="5" t="n">
        <f aca="false">C5-B5</f>
        <v>166290909.090909</v>
      </c>
      <c r="E5" s="6" t="n">
        <f aca="false">IFERROR(D5/B5,"-")</f>
        <v>3.01798383105098</v>
      </c>
      <c r="F5" s="7" t="n">
        <f aca="false">IFERROR(C5/B5,"-")</f>
        <v>4.01798383105098</v>
      </c>
    </row>
    <row r="6" customFormat="false" ht="15" hidden="false" customHeight="false" outlineLevel="0" collapsed="false">
      <c r="A6" s="3" t="s">
        <v>9</v>
      </c>
      <c r="B6" s="4" t="n">
        <f aca="false">'Reporte Costo-Beneficio'!AM17</f>
        <v>47800000</v>
      </c>
      <c r="C6" s="4" t="n">
        <f aca="false">'Reporte Costo-Beneficio'!AN17</f>
        <v>176611227.272727</v>
      </c>
      <c r="D6" s="5" t="n">
        <f aca="false">C6-B6</f>
        <v>128811227.272727</v>
      </c>
      <c r="E6" s="6" t="n">
        <f aca="false">IFERROR(D6/B6,"-")</f>
        <v>2.69479554963865</v>
      </c>
      <c r="F6" s="7" t="n">
        <f aca="false">IFERROR(C6/B6,"-")</f>
        <v>3.69479554963865</v>
      </c>
    </row>
    <row r="7" customFormat="false" ht="15" hidden="false" customHeight="false" outlineLevel="0" collapsed="false">
      <c r="A7" s="3" t="s">
        <v>10</v>
      </c>
      <c r="B7" s="4" t="n">
        <f aca="false">'Reporte Costo-Beneficio'!AM25</f>
        <v>20700000</v>
      </c>
      <c r="C7" s="4" t="n">
        <f aca="false">'Reporte Costo-Beneficio'!AN25</f>
        <v>90945000</v>
      </c>
      <c r="D7" s="5" t="n">
        <f aca="false">C7-B7</f>
        <v>70245000</v>
      </c>
      <c r="E7" s="6" t="n">
        <f aca="false">IFERROR(D7/B7,"-")</f>
        <v>3.39347826086957</v>
      </c>
      <c r="F7" s="7" t="n">
        <f aca="false">IFERROR(C7/B7,"-")</f>
        <v>4.39347826086957</v>
      </c>
    </row>
    <row r="8" customFormat="false" ht="15" hidden="false" customHeight="false" outlineLevel="0" collapsed="false">
      <c r="A8" s="3" t="s">
        <v>11</v>
      </c>
      <c r="B8" s="4" t="n">
        <f aca="false">'Reporte Costo-Beneficio'!AM35</f>
        <v>10800000</v>
      </c>
      <c r="C8" s="4" t="n">
        <f aca="false">'Reporte Costo-Beneficio'!AN35</f>
        <v>29528750</v>
      </c>
      <c r="D8" s="5" t="n">
        <f aca="false">C8-B8</f>
        <v>18728750</v>
      </c>
      <c r="E8" s="6" t="n">
        <f aca="false">IFERROR(D8/B8,"-")</f>
        <v>1.73414351851852</v>
      </c>
      <c r="F8" s="7" t="n">
        <f aca="false">IFERROR(C8/B8,"-")</f>
        <v>2.73414351851852</v>
      </c>
    </row>
    <row r="9" customFormat="false" ht="15" hidden="false" customHeight="false" outlineLevel="0" collapsed="false">
      <c r="A9" s="3" t="s">
        <v>12</v>
      </c>
      <c r="B9" s="4" t="n">
        <f aca="false">'Reporte Costo-Beneficio'!AM41</f>
        <v>3000000</v>
      </c>
      <c r="C9" s="4" t="n">
        <f aca="false">'Reporte Costo-Beneficio'!AN41</f>
        <v>9000000</v>
      </c>
      <c r="D9" s="5" t="n">
        <f aca="false">C9-B9</f>
        <v>6000000</v>
      </c>
      <c r="E9" s="6" t="n">
        <f aca="false">IFERROR(D9/B9,"-")</f>
        <v>2</v>
      </c>
      <c r="F9" s="7" t="n">
        <f aca="false">IFERROR(C9/B9,"-")</f>
        <v>3</v>
      </c>
    </row>
    <row r="10" customFormat="false" ht="15" hidden="false" customHeight="false" outlineLevel="0" collapsed="false">
      <c r="A10" s="3" t="s">
        <v>13</v>
      </c>
      <c r="B10" s="4" t="n">
        <f aca="false">'Reporte Costo-Beneficio'!AM43</f>
        <v>3300000</v>
      </c>
      <c r="C10" s="4" t="n">
        <f aca="false">'Reporte Costo-Beneficio'!AN43</f>
        <v>7099500</v>
      </c>
      <c r="D10" s="5" t="n">
        <f aca="false">C10-B10</f>
        <v>3799500</v>
      </c>
      <c r="E10" s="6" t="n">
        <f aca="false">IFERROR(D10/B10,"-")</f>
        <v>1.15136363636364</v>
      </c>
      <c r="F10" s="7" t="n">
        <f aca="false">IFERROR(C10/B10,"-")</f>
        <v>2.15136363636364</v>
      </c>
    </row>
    <row r="11" customFormat="false" ht="15" hidden="false" customHeight="false" outlineLevel="0" collapsed="false">
      <c r="A11" s="8" t="s">
        <v>14</v>
      </c>
      <c r="B11" s="9" t="n">
        <f aca="false">SUM(B4:B10)</f>
        <v>145700000</v>
      </c>
      <c r="C11" s="9" t="n">
        <f aca="false">SUM(C4:C10)</f>
        <v>553600386.363637</v>
      </c>
      <c r="D11" s="9" t="n">
        <f aca="false">SUM(D4:D10)</f>
        <v>407900386.363636</v>
      </c>
      <c r="E11" s="10" t="n">
        <f aca="false">IFERROR(D11/B11,"-")</f>
        <v>2.7995908466962</v>
      </c>
      <c r="F11" s="11" t="n">
        <f aca="false">IFERROR(C11/B11,"-")</f>
        <v>3.7995908466962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2"/>
    <col collapsed="false" customWidth="true" hidden="false" outlineLevel="0" max="41" min="3" style="0" width="13"/>
  </cols>
  <sheetData>
    <row r="1" customFormat="false" ht="25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customFormat="false" ht="15.75" hidden="false" customHeight="true" outlineLevel="0" collapsed="false">
      <c r="A2" s="12" t="s">
        <v>16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4" customFormat="false" ht="18" hidden="false" customHeight="true" outlineLevel="0" collapsed="false">
      <c r="A4" s="13" t="s">
        <v>1</v>
      </c>
      <c r="B4" s="13" t="s">
        <v>17</v>
      </c>
      <c r="C4" s="14" t="s">
        <v>18</v>
      </c>
      <c r="D4" s="14"/>
      <c r="E4" s="14"/>
      <c r="F4" s="14" t="s">
        <v>19</v>
      </c>
      <c r="G4" s="14"/>
      <c r="H4" s="14"/>
      <c r="I4" s="14" t="s">
        <v>20</v>
      </c>
      <c r="J4" s="14"/>
      <c r="K4" s="14"/>
      <c r="L4" s="14" t="s">
        <v>21</v>
      </c>
      <c r="M4" s="14"/>
      <c r="N4" s="14"/>
      <c r="O4" s="14" t="s">
        <v>22</v>
      </c>
      <c r="P4" s="14"/>
      <c r="Q4" s="14"/>
      <c r="R4" s="14" t="s">
        <v>23</v>
      </c>
      <c r="S4" s="14"/>
      <c r="T4" s="14"/>
      <c r="U4" s="14" t="s">
        <v>24</v>
      </c>
      <c r="V4" s="14"/>
      <c r="W4" s="14"/>
      <c r="X4" s="14" t="s">
        <v>25</v>
      </c>
      <c r="Y4" s="14"/>
      <c r="Z4" s="14"/>
      <c r="AA4" s="14" t="s">
        <v>26</v>
      </c>
      <c r="AB4" s="14"/>
      <c r="AC4" s="14"/>
      <c r="AD4" s="14" t="s">
        <v>27</v>
      </c>
      <c r="AE4" s="14"/>
      <c r="AF4" s="14"/>
      <c r="AG4" s="14" t="s">
        <v>28</v>
      </c>
      <c r="AH4" s="14"/>
      <c r="AI4" s="14"/>
      <c r="AJ4" s="14" t="s">
        <v>29</v>
      </c>
      <c r="AK4" s="14"/>
      <c r="AL4" s="14"/>
      <c r="AM4" s="14" t="s">
        <v>30</v>
      </c>
      <c r="AN4" s="14"/>
      <c r="AO4" s="14"/>
    </row>
    <row r="5" customFormat="false" ht="25.5" hidden="false" customHeight="true" outlineLevel="0" collapsed="false">
      <c r="A5" s="13"/>
      <c r="B5" s="13"/>
      <c r="C5" s="15" t="s">
        <v>31</v>
      </c>
      <c r="D5" s="16" t="s">
        <v>32</v>
      </c>
      <c r="E5" s="17" t="s">
        <v>33</v>
      </c>
      <c r="F5" s="15" t="s">
        <v>31</v>
      </c>
      <c r="G5" s="16" t="s">
        <v>32</v>
      </c>
      <c r="H5" s="17" t="s">
        <v>33</v>
      </c>
      <c r="I5" s="15" t="s">
        <v>31</v>
      </c>
      <c r="J5" s="16" t="s">
        <v>32</v>
      </c>
      <c r="K5" s="17" t="s">
        <v>33</v>
      </c>
      <c r="L5" s="15" t="s">
        <v>31</v>
      </c>
      <c r="M5" s="16" t="s">
        <v>32</v>
      </c>
      <c r="N5" s="17" t="s">
        <v>33</v>
      </c>
      <c r="O5" s="15" t="s">
        <v>31</v>
      </c>
      <c r="P5" s="16" t="s">
        <v>32</v>
      </c>
      <c r="Q5" s="17" t="s">
        <v>33</v>
      </c>
      <c r="R5" s="15" t="s">
        <v>31</v>
      </c>
      <c r="S5" s="16" t="s">
        <v>32</v>
      </c>
      <c r="T5" s="17" t="s">
        <v>33</v>
      </c>
      <c r="U5" s="15" t="s">
        <v>31</v>
      </c>
      <c r="V5" s="16" t="s">
        <v>32</v>
      </c>
      <c r="W5" s="17" t="s">
        <v>33</v>
      </c>
      <c r="X5" s="15" t="s">
        <v>31</v>
      </c>
      <c r="Y5" s="16" t="s">
        <v>32</v>
      </c>
      <c r="Z5" s="17" t="s">
        <v>33</v>
      </c>
      <c r="AA5" s="15" t="s">
        <v>31</v>
      </c>
      <c r="AB5" s="16" t="s">
        <v>32</v>
      </c>
      <c r="AC5" s="17" t="s">
        <v>33</v>
      </c>
      <c r="AD5" s="15" t="s">
        <v>31</v>
      </c>
      <c r="AE5" s="16" t="s">
        <v>32</v>
      </c>
      <c r="AF5" s="17" t="s">
        <v>33</v>
      </c>
      <c r="AG5" s="15" t="s">
        <v>31</v>
      </c>
      <c r="AH5" s="16" t="s">
        <v>32</v>
      </c>
      <c r="AI5" s="17" t="s">
        <v>33</v>
      </c>
      <c r="AJ5" s="15" t="s">
        <v>31</v>
      </c>
      <c r="AK5" s="16" t="s">
        <v>32</v>
      </c>
      <c r="AL5" s="17" t="s">
        <v>33</v>
      </c>
      <c r="AM5" s="15" t="s">
        <v>34</v>
      </c>
      <c r="AN5" s="16" t="s">
        <v>35</v>
      </c>
      <c r="AO5" s="17" t="s">
        <v>33</v>
      </c>
    </row>
    <row r="6" customFormat="false" ht="15.75" hidden="false" customHeight="true" outlineLevel="0" collapsed="false">
      <c r="A6" s="8" t="s">
        <v>36</v>
      </c>
      <c r="B6" s="8"/>
      <c r="C6" s="9" t="n">
        <f aca="false">C7+C8</f>
        <v>4000000</v>
      </c>
      <c r="D6" s="9" t="n">
        <f aca="false">D7+D8</f>
        <v>15000000</v>
      </c>
      <c r="E6" s="18" t="n">
        <f aca="false">IFERROR((D6-C6)/C6,"-")</f>
        <v>2.75</v>
      </c>
      <c r="F6" s="9" t="n">
        <f aca="false">F7+F8</f>
        <v>1000000</v>
      </c>
      <c r="G6" s="9" t="n">
        <f aca="false">G7+G8</f>
        <v>4025000</v>
      </c>
      <c r="H6" s="18" t="n">
        <f aca="false">IFERROR((G6-F6)/F6,"-")</f>
        <v>3.025</v>
      </c>
      <c r="I6" s="9" t="n">
        <f aca="false">I7+I8</f>
        <v>0</v>
      </c>
      <c r="J6" s="9" t="n">
        <f aca="false">J7+J8</f>
        <v>0</v>
      </c>
      <c r="K6" s="18" t="str">
        <f aca="false">IFERROR((J6-I6)/I6,"-")</f>
        <v>-</v>
      </c>
      <c r="L6" s="9" t="n">
        <f aca="false">L7+L8</f>
        <v>0</v>
      </c>
      <c r="M6" s="9" t="n">
        <f aca="false">M7+M8</f>
        <v>0</v>
      </c>
      <c r="N6" s="18" t="str">
        <f aca="false">IFERROR((M6-L6)/L6,"-")</f>
        <v>-</v>
      </c>
      <c r="O6" s="9" t="n">
        <f aca="false">O7+O8</f>
        <v>0</v>
      </c>
      <c r="P6" s="9" t="n">
        <f aca="false">P7+P8</f>
        <v>0</v>
      </c>
      <c r="Q6" s="18" t="str">
        <f aca="false">IFERROR((P6-O6)/O6,"-")</f>
        <v>-</v>
      </c>
      <c r="R6" s="9" t="n">
        <f aca="false">R7+R8</f>
        <v>0</v>
      </c>
      <c r="S6" s="9" t="n">
        <f aca="false">S7+S8</f>
        <v>0</v>
      </c>
      <c r="T6" s="18" t="str">
        <f aca="false">IFERROR((S6-R6)/R6,"-")</f>
        <v>-</v>
      </c>
      <c r="U6" s="9" t="n">
        <f aca="false">U7+U8</f>
        <v>0</v>
      </c>
      <c r="V6" s="9" t="n">
        <f aca="false">V7+V8</f>
        <v>0</v>
      </c>
      <c r="W6" s="18" t="str">
        <f aca="false">IFERROR((V6-U6)/U6,"-")</f>
        <v>-</v>
      </c>
      <c r="X6" s="9" t="n">
        <f aca="false">X7+X8</f>
        <v>0</v>
      </c>
      <c r="Y6" s="9" t="n">
        <f aca="false">Y7+Y8</f>
        <v>0</v>
      </c>
      <c r="Z6" s="18" t="str">
        <f aca="false">IFERROR((Y6-X6)/X6,"-")</f>
        <v>-</v>
      </c>
      <c r="AA6" s="9" t="n">
        <f aca="false">AA7+AA8</f>
        <v>0</v>
      </c>
      <c r="AB6" s="9" t="n">
        <f aca="false">AB7+AB8</f>
        <v>0</v>
      </c>
      <c r="AC6" s="18" t="str">
        <f aca="false">IFERROR((AB6-AA6)/AA6,"-")</f>
        <v>-</v>
      </c>
      <c r="AD6" s="9" t="n">
        <f aca="false">AD7+AD8</f>
        <v>0</v>
      </c>
      <c r="AE6" s="9" t="n">
        <f aca="false">AE7+AE8</f>
        <v>0</v>
      </c>
      <c r="AF6" s="18" t="str">
        <f aca="false">IFERROR((AE6-AD6)/AD6,"-")</f>
        <v>-</v>
      </c>
      <c r="AG6" s="9" t="n">
        <f aca="false">AG7+AG8</f>
        <v>0</v>
      </c>
      <c r="AH6" s="9" t="n">
        <f aca="false">AH7+AH8</f>
        <v>0</v>
      </c>
      <c r="AI6" s="18" t="str">
        <f aca="false">IFERROR((AH6-AG6)/AG6,"-")</f>
        <v>-</v>
      </c>
      <c r="AJ6" s="9" t="n">
        <f aca="false">AJ7+AJ8</f>
        <v>0</v>
      </c>
      <c r="AK6" s="9" t="n">
        <f aca="false">AK7+AK8</f>
        <v>0</v>
      </c>
      <c r="AL6" s="18" t="str">
        <f aca="false">IFERROR((AK6-AJ6)/AJ6,"-")</f>
        <v>-</v>
      </c>
      <c r="AM6" s="9" t="n">
        <f aca="false">C6+F6+I6+L6+O6+R6+U6+X6+AA6+AD6+AG6+AJ6</f>
        <v>5000000</v>
      </c>
      <c r="AN6" s="9" t="n">
        <f aca="false">D6+G6+J6+M6+P6+S6+V6+Y6+AB6+AE6+AH6+AK6</f>
        <v>19025000</v>
      </c>
      <c r="AO6" s="18" t="n">
        <f aca="false">IFERROR((AN6-AM6)/AM6,"-")</f>
        <v>2.805</v>
      </c>
    </row>
    <row r="7" customFormat="false" ht="15" hidden="false" customHeight="false" outlineLevel="0" collapsed="false">
      <c r="A7" s="3" t="s">
        <v>7</v>
      </c>
      <c r="B7" s="3" t="s">
        <v>37</v>
      </c>
      <c r="C7" s="4" t="n">
        <f aca="false">Supuestos!$C$12*Supuestos!$E$12/Supuestos!$Q$12</f>
        <v>3000000</v>
      </c>
      <c r="D7" s="4" t="n">
        <f aca="false">C7*Supuestos!$D$12*Supuestos!B$7</f>
        <v>10800000</v>
      </c>
      <c r="E7" s="19" t="n">
        <f aca="false">IFERROR((D7-C7)/C7,"-")</f>
        <v>2.6</v>
      </c>
      <c r="F7" s="4" t="n">
        <f aca="false">Supuestos!$C$12*Supuestos!$F$12/Supuestos!$Q$12</f>
        <v>0</v>
      </c>
      <c r="G7" s="4" t="n">
        <f aca="false">F7*Supuestos!$D$12*Supuestos!C$7</f>
        <v>0</v>
      </c>
      <c r="H7" s="19" t="str">
        <f aca="false">IFERROR((G7-F7)/F7,"-")</f>
        <v>-</v>
      </c>
      <c r="I7" s="4" t="n">
        <f aca="false">Supuestos!$C$12*Supuestos!$G$12/Supuestos!$Q$12</f>
        <v>0</v>
      </c>
      <c r="J7" s="4" t="n">
        <f aca="false">I7*Supuestos!$D$12*Supuestos!D$7</f>
        <v>0</v>
      </c>
      <c r="K7" s="19" t="str">
        <f aca="false">IFERROR((J7-I7)/I7,"-")</f>
        <v>-</v>
      </c>
      <c r="L7" s="4" t="n">
        <f aca="false">Supuestos!$C$12*Supuestos!$H$12/Supuestos!$Q$12</f>
        <v>0</v>
      </c>
      <c r="M7" s="4" t="n">
        <f aca="false">L7*Supuestos!$D$12*Supuestos!E$7</f>
        <v>0</v>
      </c>
      <c r="N7" s="19" t="str">
        <f aca="false">IFERROR((M7-L7)/L7,"-")</f>
        <v>-</v>
      </c>
      <c r="O7" s="4" t="n">
        <f aca="false">Supuestos!$C$12*Supuestos!$I$12/Supuestos!$Q$12</f>
        <v>0</v>
      </c>
      <c r="P7" s="4" t="n">
        <f aca="false">O7*Supuestos!$D$12*Supuestos!F$7</f>
        <v>0</v>
      </c>
      <c r="Q7" s="19" t="str">
        <f aca="false">IFERROR((P7-O7)/O7,"-")</f>
        <v>-</v>
      </c>
      <c r="R7" s="4" t="n">
        <f aca="false">Supuestos!$C$12*Supuestos!$J$12/Supuestos!$Q$12</f>
        <v>0</v>
      </c>
      <c r="S7" s="4" t="n">
        <f aca="false">R7*Supuestos!$D$12*Supuestos!G$7</f>
        <v>0</v>
      </c>
      <c r="T7" s="19" t="str">
        <f aca="false">IFERROR((S7-R7)/R7,"-")</f>
        <v>-</v>
      </c>
      <c r="U7" s="4" t="n">
        <f aca="false">Supuestos!$C$12*Supuestos!$K$12/Supuestos!$Q$12</f>
        <v>0</v>
      </c>
      <c r="V7" s="4" t="n">
        <f aca="false">U7*Supuestos!$D$12*Supuestos!H$7</f>
        <v>0</v>
      </c>
      <c r="W7" s="19" t="str">
        <f aca="false">IFERROR((V7-U7)/U7,"-")</f>
        <v>-</v>
      </c>
      <c r="X7" s="4" t="n">
        <f aca="false">Supuestos!$C$12*Supuestos!$L$12/Supuestos!$Q$12</f>
        <v>0</v>
      </c>
      <c r="Y7" s="4" t="n">
        <f aca="false">X7*Supuestos!$D$12*Supuestos!I$7</f>
        <v>0</v>
      </c>
      <c r="Z7" s="19" t="str">
        <f aca="false">IFERROR((Y7-X7)/X7,"-")</f>
        <v>-</v>
      </c>
      <c r="AA7" s="4" t="n">
        <f aca="false">Supuestos!$C$12*Supuestos!$M$12/Supuestos!$Q$12</f>
        <v>0</v>
      </c>
      <c r="AB7" s="4" t="n">
        <f aca="false">AA7*Supuestos!$D$12*Supuestos!J$7</f>
        <v>0</v>
      </c>
      <c r="AC7" s="19" t="str">
        <f aca="false">IFERROR((AB7-AA7)/AA7,"-")</f>
        <v>-</v>
      </c>
      <c r="AD7" s="4" t="n">
        <f aca="false">Supuestos!$C$12*Supuestos!$N$12/Supuestos!$Q$12</f>
        <v>0</v>
      </c>
      <c r="AE7" s="4" t="n">
        <f aca="false">AD7*Supuestos!$D$12*Supuestos!K$7</f>
        <v>0</v>
      </c>
      <c r="AF7" s="19" t="str">
        <f aca="false">IFERROR((AE7-AD7)/AD7,"-")</f>
        <v>-</v>
      </c>
      <c r="AG7" s="4" t="n">
        <f aca="false">Supuestos!$C$12*Supuestos!$O$12/Supuestos!$Q$12</f>
        <v>0</v>
      </c>
      <c r="AH7" s="4" t="n">
        <f aca="false">AG7*Supuestos!$D$12*Supuestos!L$7</f>
        <v>0</v>
      </c>
      <c r="AI7" s="19" t="str">
        <f aca="false">IFERROR((AH7-AG7)/AG7,"-")</f>
        <v>-</v>
      </c>
      <c r="AJ7" s="4" t="n">
        <f aca="false">Supuestos!$C$12*Supuestos!$P$12/Supuestos!$Q$12</f>
        <v>0</v>
      </c>
      <c r="AK7" s="4" t="n">
        <f aca="false">AJ7*Supuestos!$D$12*Supuestos!M$7</f>
        <v>0</v>
      </c>
      <c r="AL7" s="19" t="str">
        <f aca="false">IFERROR((AK7-AJ7)/AJ7,"-")</f>
        <v>-</v>
      </c>
      <c r="AM7" s="20" t="n">
        <f aca="false">C7+F7+I7+L7+O7+R7+U7+X7+AA7+AD7+AG7+AJ7</f>
        <v>3000000</v>
      </c>
      <c r="AN7" s="20" t="n">
        <f aca="false">D7+G7+J7+M7+P7+S7+V7+Y7+AB7+AE7+AH7+AK7</f>
        <v>10800000</v>
      </c>
      <c r="AO7" s="21" t="n">
        <f aca="false">IFERROR((AN7-AM7)/AM7,"-")</f>
        <v>2.6</v>
      </c>
    </row>
    <row r="8" customFormat="false" ht="15" hidden="false" customHeight="false" outlineLevel="0" collapsed="false">
      <c r="A8" s="3" t="s">
        <v>7</v>
      </c>
      <c r="B8" s="3" t="s">
        <v>38</v>
      </c>
      <c r="C8" s="4" t="n">
        <f aca="false">Supuestos!$C$13*Supuestos!$E$13/Supuestos!$Q$13</f>
        <v>1000000</v>
      </c>
      <c r="D8" s="4" t="n">
        <f aca="false">C8*Supuestos!$D$13*Supuestos!B$7</f>
        <v>4200000</v>
      </c>
      <c r="E8" s="19" t="n">
        <f aca="false">IFERROR((D8-C8)/C8,"-")</f>
        <v>3.2</v>
      </c>
      <c r="F8" s="4" t="n">
        <f aca="false">Supuestos!$C$13*Supuestos!$F$13/Supuestos!$Q$13</f>
        <v>1000000</v>
      </c>
      <c r="G8" s="4" t="n">
        <f aca="false">F8*Supuestos!$D$13*Supuestos!C$7</f>
        <v>4025000</v>
      </c>
      <c r="H8" s="19" t="n">
        <f aca="false">IFERROR((G8-F8)/F8,"-")</f>
        <v>3.025</v>
      </c>
      <c r="I8" s="4" t="n">
        <f aca="false">Supuestos!$C$13*Supuestos!$G$13/Supuestos!$Q$13</f>
        <v>0</v>
      </c>
      <c r="J8" s="4" t="n">
        <f aca="false">I8*Supuestos!$D$13*Supuestos!D$7</f>
        <v>0</v>
      </c>
      <c r="K8" s="19" t="str">
        <f aca="false">IFERROR((J8-I8)/I8,"-")</f>
        <v>-</v>
      </c>
      <c r="L8" s="4" t="n">
        <f aca="false">Supuestos!$C$13*Supuestos!$H$13/Supuestos!$Q$13</f>
        <v>0</v>
      </c>
      <c r="M8" s="4" t="n">
        <f aca="false">L8*Supuestos!$D$13*Supuestos!E$7</f>
        <v>0</v>
      </c>
      <c r="N8" s="19" t="str">
        <f aca="false">IFERROR((M8-L8)/L8,"-")</f>
        <v>-</v>
      </c>
      <c r="O8" s="4" t="n">
        <f aca="false">Supuestos!$C$13*Supuestos!$I$13/Supuestos!$Q$13</f>
        <v>0</v>
      </c>
      <c r="P8" s="4" t="n">
        <f aca="false">O8*Supuestos!$D$13*Supuestos!F$7</f>
        <v>0</v>
      </c>
      <c r="Q8" s="19" t="str">
        <f aca="false">IFERROR((P8-O8)/O8,"-")</f>
        <v>-</v>
      </c>
      <c r="R8" s="4" t="n">
        <f aca="false">Supuestos!$C$13*Supuestos!$J$13/Supuestos!$Q$13</f>
        <v>0</v>
      </c>
      <c r="S8" s="4" t="n">
        <f aca="false">R8*Supuestos!$D$13*Supuestos!G$7</f>
        <v>0</v>
      </c>
      <c r="T8" s="19" t="str">
        <f aca="false">IFERROR((S8-R8)/R8,"-")</f>
        <v>-</v>
      </c>
      <c r="U8" s="4" t="n">
        <f aca="false">Supuestos!$C$13*Supuestos!$K$13/Supuestos!$Q$13</f>
        <v>0</v>
      </c>
      <c r="V8" s="4" t="n">
        <f aca="false">U8*Supuestos!$D$13*Supuestos!H$7</f>
        <v>0</v>
      </c>
      <c r="W8" s="19" t="str">
        <f aca="false">IFERROR((V8-U8)/U8,"-")</f>
        <v>-</v>
      </c>
      <c r="X8" s="4" t="n">
        <f aca="false">Supuestos!$C$13*Supuestos!$L$13/Supuestos!$Q$13</f>
        <v>0</v>
      </c>
      <c r="Y8" s="4" t="n">
        <f aca="false">X8*Supuestos!$D$13*Supuestos!I$7</f>
        <v>0</v>
      </c>
      <c r="Z8" s="19" t="str">
        <f aca="false">IFERROR((Y8-X8)/X8,"-")</f>
        <v>-</v>
      </c>
      <c r="AA8" s="4" t="n">
        <f aca="false">Supuestos!$C$13*Supuestos!$M$13/Supuestos!$Q$13</f>
        <v>0</v>
      </c>
      <c r="AB8" s="4" t="n">
        <f aca="false">AA8*Supuestos!$D$13*Supuestos!J$7</f>
        <v>0</v>
      </c>
      <c r="AC8" s="19" t="str">
        <f aca="false">IFERROR((AB8-AA8)/AA8,"-")</f>
        <v>-</v>
      </c>
      <c r="AD8" s="4" t="n">
        <f aca="false">Supuestos!$C$13*Supuestos!$N$13/Supuestos!$Q$13</f>
        <v>0</v>
      </c>
      <c r="AE8" s="4" t="n">
        <f aca="false">AD8*Supuestos!$D$13*Supuestos!K$7</f>
        <v>0</v>
      </c>
      <c r="AF8" s="19" t="str">
        <f aca="false">IFERROR((AE8-AD8)/AD8,"-")</f>
        <v>-</v>
      </c>
      <c r="AG8" s="4" t="n">
        <f aca="false">Supuestos!$C$13*Supuestos!$O$13/Supuestos!$Q$13</f>
        <v>0</v>
      </c>
      <c r="AH8" s="4" t="n">
        <f aca="false">AG8*Supuestos!$D$13*Supuestos!L$7</f>
        <v>0</v>
      </c>
      <c r="AI8" s="19" t="str">
        <f aca="false">IFERROR((AH8-AG8)/AG8,"-")</f>
        <v>-</v>
      </c>
      <c r="AJ8" s="4" t="n">
        <f aca="false">Supuestos!$C$13*Supuestos!$P$13/Supuestos!$Q$13</f>
        <v>0</v>
      </c>
      <c r="AK8" s="4" t="n">
        <f aca="false">AJ8*Supuestos!$D$13*Supuestos!M$7</f>
        <v>0</v>
      </c>
      <c r="AL8" s="19" t="str">
        <f aca="false">IFERROR((AK8-AJ8)/AJ8,"-")</f>
        <v>-</v>
      </c>
      <c r="AM8" s="20" t="n">
        <f aca="false">C8+F8+I8+L8+O8+R8+U8+X8+AA8+AD8+AG8+AJ8</f>
        <v>2000000</v>
      </c>
      <c r="AN8" s="20" t="n">
        <f aca="false">D8+G8+J8+M8+P8+S8+V8+Y8+AB8+AE8+AH8+AK8</f>
        <v>8225000</v>
      </c>
      <c r="AO8" s="21" t="n">
        <f aca="false">IFERROR((AN8-AM8)/AM8,"-")</f>
        <v>3.1125</v>
      </c>
    </row>
    <row r="9" customFormat="false" ht="15.75" hidden="false" customHeight="true" outlineLevel="0" collapsed="false">
      <c r="A9" s="8" t="s">
        <v>39</v>
      </c>
      <c r="B9" s="8"/>
      <c r="C9" s="9" t="n">
        <f aca="false">C10+C11+C12+C13+C14+C15+C16</f>
        <v>3100000</v>
      </c>
      <c r="D9" s="9" t="n">
        <f aca="false">D10+D11+D12+D13+D14+D15+D16</f>
        <v>13320000</v>
      </c>
      <c r="E9" s="18" t="n">
        <f aca="false">IFERROR((D9-C9)/C9,"-")</f>
        <v>3.29677419354839</v>
      </c>
      <c r="F9" s="9" t="n">
        <f aca="false">F10+F11+F12+F13+F14+F15+F16</f>
        <v>7045454.54545455</v>
      </c>
      <c r="G9" s="9" t="n">
        <f aca="false">G10+G11+G12+G13+G14+G15+G16</f>
        <v>29115909.0909091</v>
      </c>
      <c r="H9" s="18" t="n">
        <f aca="false">IFERROR((G9-F9)/F9,"-")</f>
        <v>3.13258064516129</v>
      </c>
      <c r="I9" s="9" t="n">
        <f aca="false">I10+I11+I12+I13+I14+I15+I16</f>
        <v>4045454.54545455</v>
      </c>
      <c r="J9" s="9" t="n">
        <f aca="false">J10+J11+J12+J13+J14+J15+J16</f>
        <v>14146363.6363636</v>
      </c>
      <c r="K9" s="18" t="n">
        <f aca="false">IFERROR((J9-I9)/I9,"-")</f>
        <v>2.49685393258427</v>
      </c>
      <c r="L9" s="9" t="n">
        <f aca="false">L10+L11+L12+L13+L14+L15+L16</f>
        <v>4045454.54545455</v>
      </c>
      <c r="M9" s="9" t="n">
        <f aca="false">M10+M11+M12+M13+M14+M15+M16</f>
        <v>13360454.5454545</v>
      </c>
      <c r="N9" s="18" t="n">
        <f aca="false">IFERROR((M9-L9)/L9,"-")</f>
        <v>2.30258426966292</v>
      </c>
      <c r="O9" s="9" t="n">
        <f aca="false">O10+O11+O12+O13+O14+O15+O16</f>
        <v>4045454.54545455</v>
      </c>
      <c r="P9" s="9" t="n">
        <f aca="false">P10+P11+P12+P13+P14+P15+P16</f>
        <v>16504090.9090909</v>
      </c>
      <c r="Q9" s="18" t="n">
        <f aca="false">IFERROR((P9-O9)/O9,"-")</f>
        <v>3.07966292134831</v>
      </c>
      <c r="R9" s="9" t="n">
        <f aca="false">R10+R11+R12+R13+R14+R15+R16</f>
        <v>4045454.54545455</v>
      </c>
      <c r="S9" s="9" t="n">
        <f aca="false">S10+S11+S12+S13+S14+S15+S16</f>
        <v>14932272.7272727</v>
      </c>
      <c r="T9" s="18" t="n">
        <f aca="false">IFERROR((S9-R9)/R9,"-")</f>
        <v>2.69112359550562</v>
      </c>
      <c r="U9" s="9" t="n">
        <f aca="false">U10+U11+U12+U13+U14+U15+U16</f>
        <v>4045454.54545455</v>
      </c>
      <c r="V9" s="9" t="n">
        <f aca="false">V10+V11+V12+V13+V14+V15+V16</f>
        <v>15718181.8181818</v>
      </c>
      <c r="W9" s="18" t="n">
        <f aca="false">IFERROR((V9-U9)/U9,"-")</f>
        <v>2.88539325842697</v>
      </c>
      <c r="X9" s="9" t="n">
        <f aca="false">X10+X11+X12+X13+X14+X15+X16</f>
        <v>7045454.54545455</v>
      </c>
      <c r="Y9" s="9" t="n">
        <f aca="false">Y10+Y11+Y12+Y13+Y14+Y15+Y16</f>
        <v>26584090.9090909</v>
      </c>
      <c r="Z9" s="18" t="n">
        <f aca="false">IFERROR((Y9-X9)/X9,"-")</f>
        <v>2.77322580645161</v>
      </c>
      <c r="AA9" s="9" t="n">
        <f aca="false">AA10+AA11+AA12+AA13+AA14+AA15+AA16</f>
        <v>4795454.54545455</v>
      </c>
      <c r="AB9" s="9" t="n">
        <f aca="false">AB10+AB11+AB12+AB13+AB14+AB15+AB16</f>
        <v>19600000</v>
      </c>
      <c r="AC9" s="18" t="n">
        <f aca="false">IFERROR((AB9-AA9)/AA9,"-")</f>
        <v>3.08720379146919</v>
      </c>
      <c r="AD9" s="9" t="n">
        <f aca="false">AD10+AD11+AD12+AD13+AD14+AD15+AD16</f>
        <v>4795454.54545455</v>
      </c>
      <c r="AE9" s="9" t="n">
        <f aca="false">AE10+AE11+AE12+AE13+AE14+AE15+AE16</f>
        <v>19600000</v>
      </c>
      <c r="AF9" s="18" t="n">
        <f aca="false">IFERROR((AE9-AD9)/AD9,"-")</f>
        <v>3.08720379146919</v>
      </c>
      <c r="AG9" s="9" t="n">
        <f aca="false">AG10+AG11+AG12+AG13+AG14+AG15+AG16</f>
        <v>4045454.54545455</v>
      </c>
      <c r="AH9" s="9" t="n">
        <f aca="false">AH10+AH11+AH12+AH13+AH14+AH15+AH16</f>
        <v>18075909.0909091</v>
      </c>
      <c r="AI9" s="18" t="n">
        <f aca="false">IFERROR((AH9-AG9)/AG9,"-")</f>
        <v>3.46820224719101</v>
      </c>
      <c r="AJ9" s="9" t="n">
        <f aca="false">AJ10+AJ11+AJ12+AJ13+AJ14+AJ15+AJ16</f>
        <v>4045454.54545455</v>
      </c>
      <c r="AK9" s="9" t="n">
        <f aca="false">AK10+AK11+AK12+AK13+AK14+AK15+AK16</f>
        <v>20433636.3636364</v>
      </c>
      <c r="AL9" s="18" t="n">
        <f aca="false">IFERROR((AK9-AJ9)/AJ9,"-")</f>
        <v>4.05101123595506</v>
      </c>
      <c r="AM9" s="9" t="n">
        <f aca="false">C9+F9+I9+L9+O9+R9+U9+X9+AA9+AD9+AG9+AJ9</f>
        <v>55100000</v>
      </c>
      <c r="AN9" s="9" t="n">
        <f aca="false">D9+G9+J9+M9+P9+S9+V9+Y9+AB9+AE9+AH9+AK9</f>
        <v>221390909.090909</v>
      </c>
      <c r="AO9" s="18" t="n">
        <f aca="false">IFERROR((AN9-AM9)/AM9,"-")</f>
        <v>3.01798383105098</v>
      </c>
    </row>
    <row r="10" customFormat="false" ht="15" hidden="false" customHeight="false" outlineLevel="0" collapsed="false">
      <c r="A10" s="3" t="s">
        <v>8</v>
      </c>
      <c r="B10" s="3" t="s">
        <v>40</v>
      </c>
      <c r="C10" s="4" t="n">
        <f aca="false">Supuestos!$C$14*Supuestos!$E$14/Supuestos!$Q$14</f>
        <v>1000000</v>
      </c>
      <c r="D10" s="4" t="n">
        <f aca="false">C10*Supuestos!$D$14*Supuestos!B$7</f>
        <v>3000000</v>
      </c>
      <c r="E10" s="19" t="n">
        <f aca="false">IFERROR((D10-C10)/C10,"-")</f>
        <v>2</v>
      </c>
      <c r="F10" s="4" t="n">
        <f aca="false">Supuestos!$C$14*Supuestos!$F$14/Supuestos!$Q$14</f>
        <v>1000000</v>
      </c>
      <c r="G10" s="4" t="n">
        <f aca="false">F10*Supuestos!$D$14*Supuestos!C$7</f>
        <v>2875000</v>
      </c>
      <c r="H10" s="19" t="n">
        <f aca="false">IFERROR((G10-F10)/F10,"-")</f>
        <v>1.875</v>
      </c>
      <c r="I10" s="4" t="n">
        <f aca="false">Supuestos!$C$14*Supuestos!$G$14/Supuestos!$Q$14</f>
        <v>1000000</v>
      </c>
      <c r="J10" s="4" t="n">
        <f aca="false">I10*Supuestos!$D$14*Supuestos!D$7</f>
        <v>2250000</v>
      </c>
      <c r="K10" s="19" t="n">
        <f aca="false">IFERROR((J10-I10)/I10,"-")</f>
        <v>1.25</v>
      </c>
      <c r="L10" s="4" t="n">
        <f aca="false">Supuestos!$C$14*Supuestos!$H$14/Supuestos!$Q$14</f>
        <v>1000000</v>
      </c>
      <c r="M10" s="4" t="n">
        <f aca="false">L10*Supuestos!$D$14*Supuestos!E$7</f>
        <v>2125000</v>
      </c>
      <c r="N10" s="19" t="n">
        <f aca="false">IFERROR((M10-L10)/L10,"-")</f>
        <v>1.125</v>
      </c>
      <c r="O10" s="4" t="n">
        <f aca="false">Supuestos!$C$14*Supuestos!$I$14/Supuestos!$Q$14</f>
        <v>1000000</v>
      </c>
      <c r="P10" s="4" t="n">
        <f aca="false">O10*Supuestos!$D$14*Supuestos!F$7</f>
        <v>2625000</v>
      </c>
      <c r="Q10" s="19" t="n">
        <f aca="false">IFERROR((P10-O10)/O10,"-")</f>
        <v>1.625</v>
      </c>
      <c r="R10" s="4" t="n">
        <f aca="false">Supuestos!$C$14*Supuestos!$J$14/Supuestos!$Q$14</f>
        <v>1000000</v>
      </c>
      <c r="S10" s="4" t="n">
        <f aca="false">R10*Supuestos!$D$14*Supuestos!G$7</f>
        <v>2375000</v>
      </c>
      <c r="T10" s="19" t="n">
        <f aca="false">IFERROR((S10-R10)/R10,"-")</f>
        <v>1.375</v>
      </c>
      <c r="U10" s="4" t="n">
        <f aca="false">Supuestos!$C$14*Supuestos!$K$14/Supuestos!$Q$14</f>
        <v>1000000</v>
      </c>
      <c r="V10" s="4" t="n">
        <f aca="false">U10*Supuestos!$D$14*Supuestos!H$7</f>
        <v>2500000</v>
      </c>
      <c r="W10" s="19" t="n">
        <f aca="false">IFERROR((V10-U10)/U10,"-")</f>
        <v>1.5</v>
      </c>
      <c r="X10" s="4" t="n">
        <f aca="false">Supuestos!$C$14*Supuestos!$L$14/Supuestos!$Q$14</f>
        <v>1000000</v>
      </c>
      <c r="Y10" s="4" t="n">
        <f aca="false">X10*Supuestos!$D$14*Supuestos!I$7</f>
        <v>2625000</v>
      </c>
      <c r="Z10" s="19" t="n">
        <f aca="false">IFERROR((Y10-X10)/X10,"-")</f>
        <v>1.625</v>
      </c>
      <c r="AA10" s="4" t="n">
        <f aca="false">Supuestos!$C$14*Supuestos!$M$14/Supuestos!$Q$14</f>
        <v>1000000</v>
      </c>
      <c r="AB10" s="4" t="n">
        <f aca="false">AA10*Supuestos!$D$14*Supuestos!J$7</f>
        <v>2750000</v>
      </c>
      <c r="AC10" s="19" t="n">
        <f aca="false">IFERROR((AB10-AA10)/AA10,"-")</f>
        <v>1.75</v>
      </c>
      <c r="AD10" s="4" t="n">
        <f aca="false">Supuestos!$C$14*Supuestos!$N$14/Supuestos!$Q$14</f>
        <v>1000000</v>
      </c>
      <c r="AE10" s="4" t="n">
        <f aca="false">AD10*Supuestos!$D$14*Supuestos!K$7</f>
        <v>2750000</v>
      </c>
      <c r="AF10" s="19" t="n">
        <f aca="false">IFERROR((AE10-AD10)/AD10,"-")</f>
        <v>1.75</v>
      </c>
      <c r="AG10" s="4" t="n">
        <f aca="false">Supuestos!$C$14*Supuestos!$O$14/Supuestos!$Q$14</f>
        <v>1000000</v>
      </c>
      <c r="AH10" s="4" t="n">
        <f aca="false">AG10*Supuestos!$D$14*Supuestos!L$7</f>
        <v>2875000</v>
      </c>
      <c r="AI10" s="19" t="n">
        <f aca="false">IFERROR((AH10-AG10)/AG10,"-")</f>
        <v>1.875</v>
      </c>
      <c r="AJ10" s="4" t="n">
        <f aca="false">Supuestos!$C$14*Supuestos!$P$14/Supuestos!$Q$14</f>
        <v>1000000</v>
      </c>
      <c r="AK10" s="4" t="n">
        <f aca="false">AJ10*Supuestos!$D$14*Supuestos!M$7</f>
        <v>3250000</v>
      </c>
      <c r="AL10" s="19" t="n">
        <f aca="false">IFERROR((AK10-AJ10)/AJ10,"-")</f>
        <v>2.25</v>
      </c>
      <c r="AM10" s="20" t="n">
        <f aca="false">C10+F10+I10+L10+O10+R10+U10+X10+AA10+AD10+AG10+AJ10</f>
        <v>12000000</v>
      </c>
      <c r="AN10" s="20" t="n">
        <f aca="false">D10+G10+J10+M10+P10+S10+V10+Y10+AB10+AE10+AH10+AK10</f>
        <v>32000000</v>
      </c>
      <c r="AO10" s="21" t="n">
        <f aca="false">IFERROR((AN10-AM10)/AM10,"-")</f>
        <v>1.66666666666667</v>
      </c>
    </row>
    <row r="11" customFormat="false" ht="15" hidden="false" customHeight="false" outlineLevel="0" collapsed="false">
      <c r="A11" s="3" t="s">
        <v>8</v>
      </c>
      <c r="B11" s="3" t="s">
        <v>41</v>
      </c>
      <c r="C11" s="4" t="n">
        <f aca="false">Supuestos!$C$15*Supuestos!$E$15/Supuestos!$Q$15</f>
        <v>100000</v>
      </c>
      <c r="D11" s="4" t="n">
        <f aca="false">C11*Supuestos!$D$15*Supuestos!B$7</f>
        <v>720000</v>
      </c>
      <c r="E11" s="19" t="n">
        <f aca="false">IFERROR((D11-C11)/C11,"-")</f>
        <v>6.2</v>
      </c>
      <c r="F11" s="4" t="n">
        <f aca="false">Supuestos!$C$15*Supuestos!$F$15/Supuestos!$Q$15</f>
        <v>100000</v>
      </c>
      <c r="G11" s="4" t="n">
        <f aca="false">F11*Supuestos!$D$15*Supuestos!C$7</f>
        <v>690000</v>
      </c>
      <c r="H11" s="19" t="n">
        <f aca="false">IFERROR((G11-F11)/F11,"-")</f>
        <v>5.9</v>
      </c>
      <c r="I11" s="4" t="n">
        <f aca="false">Supuestos!$C$15*Supuestos!$G$15/Supuestos!$Q$15</f>
        <v>100000</v>
      </c>
      <c r="J11" s="4" t="n">
        <f aca="false">I11*Supuestos!$D$15*Supuestos!D$7</f>
        <v>540000</v>
      </c>
      <c r="K11" s="19" t="n">
        <f aca="false">IFERROR((J11-I11)/I11,"-")</f>
        <v>4.4</v>
      </c>
      <c r="L11" s="4" t="n">
        <f aca="false">Supuestos!$C$15*Supuestos!$H$15/Supuestos!$Q$15</f>
        <v>100000</v>
      </c>
      <c r="M11" s="4" t="n">
        <f aca="false">L11*Supuestos!$D$15*Supuestos!E$7</f>
        <v>510000</v>
      </c>
      <c r="N11" s="19" t="n">
        <f aca="false">IFERROR((M11-L11)/L11,"-")</f>
        <v>4.1</v>
      </c>
      <c r="O11" s="4" t="n">
        <f aca="false">Supuestos!$C$15*Supuestos!$I$15/Supuestos!$Q$15</f>
        <v>100000</v>
      </c>
      <c r="P11" s="4" t="n">
        <f aca="false">O11*Supuestos!$D$15*Supuestos!F$7</f>
        <v>630000</v>
      </c>
      <c r="Q11" s="19" t="n">
        <f aca="false">IFERROR((P11-O11)/O11,"-")</f>
        <v>5.3</v>
      </c>
      <c r="R11" s="4" t="n">
        <f aca="false">Supuestos!$C$15*Supuestos!$J$15/Supuestos!$Q$15</f>
        <v>100000</v>
      </c>
      <c r="S11" s="4" t="n">
        <f aca="false">R11*Supuestos!$D$15*Supuestos!G$7</f>
        <v>570000</v>
      </c>
      <c r="T11" s="19" t="n">
        <f aca="false">IFERROR((S11-R11)/R11,"-")</f>
        <v>4.7</v>
      </c>
      <c r="U11" s="4" t="n">
        <f aca="false">Supuestos!$C$15*Supuestos!$K$15/Supuestos!$Q$15</f>
        <v>100000</v>
      </c>
      <c r="V11" s="4" t="n">
        <f aca="false">U11*Supuestos!$D$15*Supuestos!H$7</f>
        <v>600000</v>
      </c>
      <c r="W11" s="19" t="n">
        <f aca="false">IFERROR((V11-U11)/U11,"-")</f>
        <v>5</v>
      </c>
      <c r="X11" s="4" t="n">
        <f aca="false">Supuestos!$C$15*Supuestos!$L$15/Supuestos!$Q$15</f>
        <v>100000</v>
      </c>
      <c r="Y11" s="4" t="n">
        <f aca="false">X11*Supuestos!$D$15*Supuestos!I$7</f>
        <v>630000</v>
      </c>
      <c r="Z11" s="19" t="n">
        <f aca="false">IFERROR((Y11-X11)/X11,"-")</f>
        <v>5.3</v>
      </c>
      <c r="AA11" s="4" t="n">
        <f aca="false">Supuestos!$C$15*Supuestos!$M$15/Supuestos!$Q$15</f>
        <v>100000</v>
      </c>
      <c r="AB11" s="4" t="n">
        <f aca="false">AA11*Supuestos!$D$15*Supuestos!J$7</f>
        <v>660000</v>
      </c>
      <c r="AC11" s="19" t="n">
        <f aca="false">IFERROR((AB11-AA11)/AA11,"-")</f>
        <v>5.6</v>
      </c>
      <c r="AD11" s="4" t="n">
        <f aca="false">Supuestos!$C$15*Supuestos!$N$15/Supuestos!$Q$15</f>
        <v>100000</v>
      </c>
      <c r="AE11" s="4" t="n">
        <f aca="false">AD11*Supuestos!$D$15*Supuestos!K$7</f>
        <v>660000</v>
      </c>
      <c r="AF11" s="19" t="n">
        <f aca="false">IFERROR((AE11-AD11)/AD11,"-")</f>
        <v>5.6</v>
      </c>
      <c r="AG11" s="4" t="n">
        <f aca="false">Supuestos!$C$15*Supuestos!$O$15/Supuestos!$Q$15</f>
        <v>100000</v>
      </c>
      <c r="AH11" s="4" t="n">
        <f aca="false">AG11*Supuestos!$D$15*Supuestos!L$7</f>
        <v>690000</v>
      </c>
      <c r="AI11" s="19" t="n">
        <f aca="false">IFERROR((AH11-AG11)/AG11,"-")</f>
        <v>5.9</v>
      </c>
      <c r="AJ11" s="4" t="n">
        <f aca="false">Supuestos!$C$15*Supuestos!$P$15/Supuestos!$Q$15</f>
        <v>100000</v>
      </c>
      <c r="AK11" s="4" t="n">
        <f aca="false">AJ11*Supuestos!$D$15*Supuestos!M$7</f>
        <v>780000</v>
      </c>
      <c r="AL11" s="19" t="n">
        <f aca="false">IFERROR((AK11-AJ11)/AJ11,"-")</f>
        <v>6.8</v>
      </c>
      <c r="AM11" s="20" t="n">
        <f aca="false">C11+F11+I11+L11+O11+R11+U11+X11+AA11+AD11+AG11+AJ11</f>
        <v>1200000</v>
      </c>
      <c r="AN11" s="20" t="n">
        <f aca="false">D11+G11+J11+M11+P11+S11+V11+Y11+AB11+AE11+AH11+AK11</f>
        <v>7680000</v>
      </c>
      <c r="AO11" s="21" t="n">
        <f aca="false">IFERROR((AN11-AM11)/AM11,"-")</f>
        <v>5.4</v>
      </c>
    </row>
    <row r="12" customFormat="false" ht="15" hidden="false" customHeight="false" outlineLevel="0" collapsed="false">
      <c r="A12" s="3" t="s">
        <v>8</v>
      </c>
      <c r="B12" s="3" t="s">
        <v>42</v>
      </c>
      <c r="C12" s="4" t="n">
        <f aca="false">Supuestos!$C$16*Supuestos!$E$16/Supuestos!$Q$16</f>
        <v>2000000</v>
      </c>
      <c r="D12" s="4" t="n">
        <f aca="false">C12*Supuestos!$D$16*Supuestos!B$7</f>
        <v>9600000</v>
      </c>
      <c r="E12" s="19" t="n">
        <f aca="false">IFERROR((D12-C12)/C12,"-")</f>
        <v>3.8</v>
      </c>
      <c r="F12" s="4" t="n">
        <f aca="false">Supuestos!$C$16*Supuestos!$F$16/Supuestos!$Q$16</f>
        <v>2000000</v>
      </c>
      <c r="G12" s="4" t="n">
        <f aca="false">F12*Supuestos!$D$16*Supuestos!C$7</f>
        <v>9200000</v>
      </c>
      <c r="H12" s="19" t="n">
        <f aca="false">IFERROR((G12-F12)/F12,"-")</f>
        <v>3.6</v>
      </c>
      <c r="I12" s="4" t="n">
        <f aca="false">Supuestos!$C$16*Supuestos!$G$16/Supuestos!$Q$16</f>
        <v>2000000</v>
      </c>
      <c r="J12" s="4" t="n">
        <f aca="false">I12*Supuestos!$D$16*Supuestos!D$7</f>
        <v>7200000</v>
      </c>
      <c r="K12" s="19" t="n">
        <f aca="false">IFERROR((J12-I12)/I12,"-")</f>
        <v>2.6</v>
      </c>
      <c r="L12" s="4" t="n">
        <f aca="false">Supuestos!$C$16*Supuestos!$H$16/Supuestos!$Q$16</f>
        <v>2000000</v>
      </c>
      <c r="M12" s="4" t="n">
        <f aca="false">L12*Supuestos!$D$16*Supuestos!E$7</f>
        <v>6800000</v>
      </c>
      <c r="N12" s="19" t="n">
        <f aca="false">IFERROR((M12-L12)/L12,"-")</f>
        <v>2.4</v>
      </c>
      <c r="O12" s="4" t="n">
        <f aca="false">Supuestos!$C$16*Supuestos!$I$16/Supuestos!$Q$16</f>
        <v>2000000</v>
      </c>
      <c r="P12" s="4" t="n">
        <f aca="false">O12*Supuestos!$D$16*Supuestos!F$7</f>
        <v>8400000</v>
      </c>
      <c r="Q12" s="19" t="n">
        <f aca="false">IFERROR((P12-O12)/O12,"-")</f>
        <v>3.2</v>
      </c>
      <c r="R12" s="4" t="n">
        <f aca="false">Supuestos!$C$16*Supuestos!$J$16/Supuestos!$Q$16</f>
        <v>2000000</v>
      </c>
      <c r="S12" s="4" t="n">
        <f aca="false">R12*Supuestos!$D$16*Supuestos!G$7</f>
        <v>7600000</v>
      </c>
      <c r="T12" s="19" t="n">
        <f aca="false">IFERROR((S12-R12)/R12,"-")</f>
        <v>2.8</v>
      </c>
      <c r="U12" s="4" t="n">
        <f aca="false">Supuestos!$C$16*Supuestos!$K$16/Supuestos!$Q$16</f>
        <v>2000000</v>
      </c>
      <c r="V12" s="4" t="n">
        <f aca="false">U12*Supuestos!$D$16*Supuestos!H$7</f>
        <v>8000000</v>
      </c>
      <c r="W12" s="19" t="n">
        <f aca="false">IFERROR((V12-U12)/U12,"-")</f>
        <v>3</v>
      </c>
      <c r="X12" s="4" t="n">
        <f aca="false">Supuestos!$C$16*Supuestos!$L$16/Supuestos!$Q$16</f>
        <v>2000000</v>
      </c>
      <c r="Y12" s="4" t="n">
        <f aca="false">X12*Supuestos!$D$16*Supuestos!I$7</f>
        <v>8400000</v>
      </c>
      <c r="Z12" s="19" t="n">
        <f aca="false">IFERROR((Y12-X12)/X12,"-")</f>
        <v>3.2</v>
      </c>
      <c r="AA12" s="4" t="n">
        <f aca="false">Supuestos!$C$16*Supuestos!$M$16/Supuestos!$Q$16</f>
        <v>2000000</v>
      </c>
      <c r="AB12" s="4" t="n">
        <f aca="false">AA12*Supuestos!$D$16*Supuestos!J$7</f>
        <v>8800000</v>
      </c>
      <c r="AC12" s="19" t="n">
        <f aca="false">IFERROR((AB12-AA12)/AA12,"-")</f>
        <v>3.4</v>
      </c>
      <c r="AD12" s="4" t="n">
        <f aca="false">Supuestos!$C$16*Supuestos!$N$16/Supuestos!$Q$16</f>
        <v>2000000</v>
      </c>
      <c r="AE12" s="4" t="n">
        <f aca="false">AD12*Supuestos!$D$16*Supuestos!K$7</f>
        <v>8800000</v>
      </c>
      <c r="AF12" s="19" t="n">
        <f aca="false">IFERROR((AE12-AD12)/AD12,"-")</f>
        <v>3.4</v>
      </c>
      <c r="AG12" s="4" t="n">
        <f aca="false">Supuestos!$C$16*Supuestos!$O$16/Supuestos!$Q$16</f>
        <v>2000000</v>
      </c>
      <c r="AH12" s="4" t="n">
        <f aca="false">AG12*Supuestos!$D$16*Supuestos!L$7</f>
        <v>9200000</v>
      </c>
      <c r="AI12" s="19" t="n">
        <f aca="false">IFERROR((AH12-AG12)/AG12,"-")</f>
        <v>3.6</v>
      </c>
      <c r="AJ12" s="4" t="n">
        <f aca="false">Supuestos!$C$16*Supuestos!$P$16/Supuestos!$Q$16</f>
        <v>2000000</v>
      </c>
      <c r="AK12" s="4" t="n">
        <f aca="false">AJ12*Supuestos!$D$16*Supuestos!M$7</f>
        <v>10400000</v>
      </c>
      <c r="AL12" s="19" t="n">
        <f aca="false">IFERROR((AK12-AJ12)/AJ12,"-")</f>
        <v>4.2</v>
      </c>
      <c r="AM12" s="20" t="n">
        <f aca="false">C12+F12+I12+L12+O12+R12+U12+X12+AA12+AD12+AG12+AJ12</f>
        <v>24000000</v>
      </c>
      <c r="AN12" s="20" t="n">
        <f aca="false">D12+G12+J12+M12+P12+S12+V12+Y12+AB12+AE12+AH12+AK12</f>
        <v>102400000</v>
      </c>
      <c r="AO12" s="21" t="n">
        <f aca="false">IFERROR((AN12-AM12)/AM12,"-")</f>
        <v>3.26666666666667</v>
      </c>
    </row>
    <row r="13" customFormat="false" ht="15" hidden="false" customHeight="false" outlineLevel="0" collapsed="false">
      <c r="A13" s="3" t="s">
        <v>8</v>
      </c>
      <c r="B13" s="3" t="s">
        <v>43</v>
      </c>
      <c r="C13" s="4" t="n">
        <f aca="false">Supuestos!$C$17*Supuestos!$E$17/Supuestos!$Q$17</f>
        <v>0</v>
      </c>
      <c r="D13" s="4" t="n">
        <f aca="false">C13*Supuestos!$D$17*Supuestos!B$7</f>
        <v>0</v>
      </c>
      <c r="E13" s="19" t="str">
        <f aca="false">IFERROR((D13-C13)/C13,"-")</f>
        <v>-</v>
      </c>
      <c r="F13" s="4" t="n">
        <f aca="false">Supuestos!$C$17*Supuestos!$F$17/Supuestos!$Q$17</f>
        <v>3000000</v>
      </c>
      <c r="G13" s="4" t="n">
        <f aca="false">F13*Supuestos!$D$17*Supuestos!C$7</f>
        <v>11040000</v>
      </c>
      <c r="H13" s="19" t="n">
        <f aca="false">IFERROR((G13-F13)/F13,"-")</f>
        <v>2.68</v>
      </c>
      <c r="I13" s="4" t="n">
        <f aca="false">Supuestos!$C$17*Supuestos!$G$17/Supuestos!$Q$17</f>
        <v>0</v>
      </c>
      <c r="J13" s="4" t="n">
        <f aca="false">I13*Supuestos!$D$17*Supuestos!D$7</f>
        <v>0</v>
      </c>
      <c r="K13" s="19" t="str">
        <f aca="false">IFERROR((J13-I13)/I13,"-")</f>
        <v>-</v>
      </c>
      <c r="L13" s="4" t="n">
        <f aca="false">Supuestos!$C$17*Supuestos!$H$17/Supuestos!$Q$17</f>
        <v>0</v>
      </c>
      <c r="M13" s="4" t="n">
        <f aca="false">L13*Supuestos!$D$17*Supuestos!E$7</f>
        <v>0</v>
      </c>
      <c r="N13" s="19" t="str">
        <f aca="false">IFERROR((M13-L13)/L13,"-")</f>
        <v>-</v>
      </c>
      <c r="O13" s="4" t="n">
        <f aca="false">Supuestos!$C$17*Supuestos!$I$17/Supuestos!$Q$17</f>
        <v>0</v>
      </c>
      <c r="P13" s="4" t="n">
        <f aca="false">O13*Supuestos!$D$17*Supuestos!F$7</f>
        <v>0</v>
      </c>
      <c r="Q13" s="19" t="str">
        <f aca="false">IFERROR((P13-O13)/O13,"-")</f>
        <v>-</v>
      </c>
      <c r="R13" s="4" t="n">
        <f aca="false">Supuestos!$C$17*Supuestos!$J$17/Supuestos!$Q$17</f>
        <v>0</v>
      </c>
      <c r="S13" s="4" t="n">
        <f aca="false">R13*Supuestos!$D$17*Supuestos!G$7</f>
        <v>0</v>
      </c>
      <c r="T13" s="19" t="str">
        <f aca="false">IFERROR((S13-R13)/R13,"-")</f>
        <v>-</v>
      </c>
      <c r="U13" s="4" t="n">
        <f aca="false">Supuestos!$C$17*Supuestos!$K$17/Supuestos!$Q$17</f>
        <v>0</v>
      </c>
      <c r="V13" s="4" t="n">
        <f aca="false">U13*Supuestos!$D$17*Supuestos!H$7</f>
        <v>0</v>
      </c>
      <c r="W13" s="19" t="str">
        <f aca="false">IFERROR((V13-U13)/U13,"-")</f>
        <v>-</v>
      </c>
      <c r="X13" s="4" t="n">
        <f aca="false">Supuestos!$C$17*Supuestos!$L$17/Supuestos!$Q$17</f>
        <v>3000000</v>
      </c>
      <c r="Y13" s="4" t="n">
        <f aca="false">X13*Supuestos!$D$17*Supuestos!I$7</f>
        <v>10080000</v>
      </c>
      <c r="Z13" s="19" t="n">
        <f aca="false">IFERROR((Y13-X13)/X13,"-")</f>
        <v>2.36</v>
      </c>
      <c r="AA13" s="4" t="n">
        <f aca="false">Supuestos!$C$17*Supuestos!$M$17/Supuestos!$Q$17</f>
        <v>0</v>
      </c>
      <c r="AB13" s="4" t="n">
        <f aca="false">AA13*Supuestos!$D$17*Supuestos!J$7</f>
        <v>0</v>
      </c>
      <c r="AC13" s="19" t="str">
        <f aca="false">IFERROR((AB13-AA13)/AA13,"-")</f>
        <v>-</v>
      </c>
      <c r="AD13" s="4" t="n">
        <f aca="false">Supuestos!$C$17*Supuestos!$N$17/Supuestos!$Q$17</f>
        <v>0</v>
      </c>
      <c r="AE13" s="4" t="n">
        <f aca="false">AD13*Supuestos!$D$17*Supuestos!K$7</f>
        <v>0</v>
      </c>
      <c r="AF13" s="19" t="str">
        <f aca="false">IFERROR((AE13-AD13)/AD13,"-")</f>
        <v>-</v>
      </c>
      <c r="AG13" s="4" t="n">
        <f aca="false">Supuestos!$C$17*Supuestos!$O$17/Supuestos!$Q$17</f>
        <v>0</v>
      </c>
      <c r="AH13" s="4" t="n">
        <f aca="false">AG13*Supuestos!$D$17*Supuestos!L$7</f>
        <v>0</v>
      </c>
      <c r="AI13" s="19" t="str">
        <f aca="false">IFERROR((AH13-AG13)/AG13,"-")</f>
        <v>-</v>
      </c>
      <c r="AJ13" s="4" t="n">
        <f aca="false">Supuestos!$C$17*Supuestos!$P$17/Supuestos!$Q$17</f>
        <v>0</v>
      </c>
      <c r="AK13" s="4" t="n">
        <f aca="false">AJ13*Supuestos!$D$17*Supuestos!M$7</f>
        <v>0</v>
      </c>
      <c r="AL13" s="19" t="str">
        <f aca="false">IFERROR((AK13-AJ13)/AJ13,"-")</f>
        <v>-</v>
      </c>
      <c r="AM13" s="20" t="n">
        <f aca="false">C13+F13+I13+L13+O13+R13+U13+X13+AA13+AD13+AG13+AJ13</f>
        <v>6000000</v>
      </c>
      <c r="AN13" s="20" t="n">
        <f aca="false">D13+G13+J13+M13+P13+S13+V13+Y13+AB13+AE13+AH13+AK13</f>
        <v>21120000</v>
      </c>
      <c r="AO13" s="21" t="n">
        <f aca="false">IFERROR((AN13-AM13)/AM13,"-")</f>
        <v>2.52</v>
      </c>
    </row>
    <row r="14" customFormat="false" ht="15" hidden="false" customHeight="false" outlineLevel="0" collapsed="false">
      <c r="A14" s="3" t="s">
        <v>8</v>
      </c>
      <c r="B14" s="3" t="s">
        <v>44</v>
      </c>
      <c r="C14" s="4" t="n">
        <f aca="false">Supuestos!$C$18*Supuestos!$E$18/Supuestos!$Q$18</f>
        <v>0</v>
      </c>
      <c r="D14" s="4" t="n">
        <f aca="false">C14*Supuestos!$D$18*Supuestos!B$7</f>
        <v>0</v>
      </c>
      <c r="E14" s="19" t="str">
        <f aca="false">IFERROR((D14-C14)/C14,"-")</f>
        <v>-</v>
      </c>
      <c r="F14" s="4" t="n">
        <f aca="false">Supuestos!$C$18*Supuestos!$F$18/Supuestos!$Q$18</f>
        <v>727272.727272727</v>
      </c>
      <c r="G14" s="4" t="n">
        <f aca="false">F14*Supuestos!$D$18*Supuestos!C$7</f>
        <v>4181818.18181818</v>
      </c>
      <c r="H14" s="19" t="n">
        <f aca="false">IFERROR((G14-F14)/F14,"-")</f>
        <v>4.75</v>
      </c>
      <c r="I14" s="4" t="n">
        <f aca="false">Supuestos!$C$18*Supuestos!$G$18/Supuestos!$Q$18</f>
        <v>727272.727272727</v>
      </c>
      <c r="J14" s="4" t="n">
        <f aca="false">I14*Supuestos!$D$18*Supuestos!D$7</f>
        <v>3272727.27272727</v>
      </c>
      <c r="K14" s="19" t="n">
        <f aca="false">IFERROR((J14-I14)/I14,"-")</f>
        <v>3.5</v>
      </c>
      <c r="L14" s="4" t="n">
        <f aca="false">Supuestos!$C$18*Supuestos!$H$18/Supuestos!$Q$18</f>
        <v>727272.727272727</v>
      </c>
      <c r="M14" s="4" t="n">
        <f aca="false">L14*Supuestos!$D$18*Supuestos!E$7</f>
        <v>3090909.09090909</v>
      </c>
      <c r="N14" s="19" t="n">
        <f aca="false">IFERROR((M14-L14)/L14,"-")</f>
        <v>3.25</v>
      </c>
      <c r="O14" s="4" t="n">
        <f aca="false">Supuestos!$C$18*Supuestos!$I$18/Supuestos!$Q$18</f>
        <v>727272.727272727</v>
      </c>
      <c r="P14" s="4" t="n">
        <f aca="false">O14*Supuestos!$D$18*Supuestos!F$7</f>
        <v>3818181.81818182</v>
      </c>
      <c r="Q14" s="19" t="n">
        <f aca="false">IFERROR((P14-O14)/O14,"-")</f>
        <v>4.25</v>
      </c>
      <c r="R14" s="4" t="n">
        <f aca="false">Supuestos!$C$18*Supuestos!$J$18/Supuestos!$Q$18</f>
        <v>727272.727272727</v>
      </c>
      <c r="S14" s="4" t="n">
        <f aca="false">R14*Supuestos!$D$18*Supuestos!G$7</f>
        <v>3454545.45454545</v>
      </c>
      <c r="T14" s="19" t="n">
        <f aca="false">IFERROR((S14-R14)/R14,"-")</f>
        <v>3.75</v>
      </c>
      <c r="U14" s="4" t="n">
        <f aca="false">Supuestos!$C$18*Supuestos!$K$18/Supuestos!$Q$18</f>
        <v>727272.727272727</v>
      </c>
      <c r="V14" s="4" t="n">
        <f aca="false">U14*Supuestos!$D$18*Supuestos!H$7</f>
        <v>3636363.63636364</v>
      </c>
      <c r="W14" s="19" t="n">
        <f aca="false">IFERROR((V14-U14)/U14,"-")</f>
        <v>4</v>
      </c>
      <c r="X14" s="4" t="n">
        <f aca="false">Supuestos!$C$18*Supuestos!$L$18/Supuestos!$Q$18</f>
        <v>727272.727272727</v>
      </c>
      <c r="Y14" s="4" t="n">
        <f aca="false">X14*Supuestos!$D$18*Supuestos!I$7</f>
        <v>3818181.81818182</v>
      </c>
      <c r="Z14" s="19" t="n">
        <f aca="false">IFERROR((Y14-X14)/X14,"-")</f>
        <v>4.25</v>
      </c>
      <c r="AA14" s="4" t="n">
        <f aca="false">Supuestos!$C$18*Supuestos!$M$18/Supuestos!$Q$18</f>
        <v>727272.727272727</v>
      </c>
      <c r="AB14" s="4" t="n">
        <f aca="false">AA14*Supuestos!$D$18*Supuestos!J$7</f>
        <v>4000000</v>
      </c>
      <c r="AC14" s="19" t="n">
        <f aca="false">IFERROR((AB14-AA14)/AA14,"-")</f>
        <v>4.5</v>
      </c>
      <c r="AD14" s="4" t="n">
        <f aca="false">Supuestos!$C$18*Supuestos!$N$18/Supuestos!$Q$18</f>
        <v>727272.727272727</v>
      </c>
      <c r="AE14" s="4" t="n">
        <f aca="false">AD14*Supuestos!$D$18*Supuestos!K$7</f>
        <v>4000000</v>
      </c>
      <c r="AF14" s="19" t="n">
        <f aca="false">IFERROR((AE14-AD14)/AD14,"-")</f>
        <v>4.5</v>
      </c>
      <c r="AG14" s="4" t="n">
        <f aca="false">Supuestos!$C$18*Supuestos!$O$18/Supuestos!$Q$18</f>
        <v>727272.727272727</v>
      </c>
      <c r="AH14" s="4" t="n">
        <f aca="false">AG14*Supuestos!$D$18*Supuestos!L$7</f>
        <v>4181818.18181818</v>
      </c>
      <c r="AI14" s="19" t="n">
        <f aca="false">IFERROR((AH14-AG14)/AG14,"-")</f>
        <v>4.75</v>
      </c>
      <c r="AJ14" s="4" t="n">
        <f aca="false">Supuestos!$C$18*Supuestos!$P$18/Supuestos!$Q$18</f>
        <v>727272.727272727</v>
      </c>
      <c r="AK14" s="4" t="n">
        <f aca="false">AJ14*Supuestos!$D$18*Supuestos!M$7</f>
        <v>4727272.72727273</v>
      </c>
      <c r="AL14" s="19" t="n">
        <f aca="false">IFERROR((AK14-AJ14)/AJ14,"-")</f>
        <v>5.5</v>
      </c>
      <c r="AM14" s="20" t="n">
        <f aca="false">C14+F14+I14+L14+O14+R14+U14+X14+AA14+AD14+AG14+AJ14</f>
        <v>8000000</v>
      </c>
      <c r="AN14" s="20" t="n">
        <f aca="false">D14+G14+J14+M14+P14+S14+V14+Y14+AB14+AE14+AH14+AK14</f>
        <v>42181818.1818182</v>
      </c>
      <c r="AO14" s="21" t="n">
        <f aca="false">IFERROR((AN14-AM14)/AM14,"-")</f>
        <v>4.27272727272727</v>
      </c>
    </row>
    <row r="15" customFormat="false" ht="15" hidden="false" customHeight="false" outlineLevel="0" collapsed="false">
      <c r="A15" s="3" t="s">
        <v>8</v>
      </c>
      <c r="B15" s="3" t="s">
        <v>45</v>
      </c>
      <c r="C15" s="4" t="n">
        <f aca="false">Supuestos!$C$19*Supuestos!$E$19/Supuestos!$Q$19</f>
        <v>0</v>
      </c>
      <c r="D15" s="4" t="n">
        <f aca="false">C15*Supuestos!$D$19*Supuestos!B$7</f>
        <v>0</v>
      </c>
      <c r="E15" s="19" t="str">
        <f aca="false">IFERROR((D15-C15)/C15,"-")</f>
        <v>-</v>
      </c>
      <c r="F15" s="4" t="n">
        <f aca="false">Supuestos!$C$19*Supuestos!$F$19/Supuestos!$Q$19</f>
        <v>218181.818181818</v>
      </c>
      <c r="G15" s="4" t="n">
        <f aca="false">F15*Supuestos!$D$19*Supuestos!C$7</f>
        <v>1129090.90909091</v>
      </c>
      <c r="H15" s="19" t="n">
        <f aca="false">IFERROR((G15-F15)/F15,"-")</f>
        <v>4.175</v>
      </c>
      <c r="I15" s="4" t="n">
        <f aca="false">Supuestos!$C$19*Supuestos!$G$19/Supuestos!$Q$19</f>
        <v>218181.818181818</v>
      </c>
      <c r="J15" s="4" t="n">
        <f aca="false">I15*Supuestos!$D$19*Supuestos!D$7</f>
        <v>883636.363636364</v>
      </c>
      <c r="K15" s="19" t="n">
        <f aca="false">IFERROR((J15-I15)/I15,"-")</f>
        <v>3.05</v>
      </c>
      <c r="L15" s="4" t="n">
        <f aca="false">Supuestos!$C$19*Supuestos!$H$19/Supuestos!$Q$19</f>
        <v>218181.818181818</v>
      </c>
      <c r="M15" s="4" t="n">
        <f aca="false">L15*Supuestos!$D$19*Supuestos!E$7</f>
        <v>834545.454545455</v>
      </c>
      <c r="N15" s="19" t="n">
        <f aca="false">IFERROR((M15-L15)/L15,"-")</f>
        <v>2.825</v>
      </c>
      <c r="O15" s="4" t="n">
        <f aca="false">Supuestos!$C$19*Supuestos!$I$19/Supuestos!$Q$19</f>
        <v>218181.818181818</v>
      </c>
      <c r="P15" s="4" t="n">
        <f aca="false">O15*Supuestos!$D$19*Supuestos!F$7</f>
        <v>1030909.09090909</v>
      </c>
      <c r="Q15" s="19" t="n">
        <f aca="false">IFERROR((P15-O15)/O15,"-")</f>
        <v>3.725</v>
      </c>
      <c r="R15" s="4" t="n">
        <f aca="false">Supuestos!$C$19*Supuestos!$J$19/Supuestos!$Q$19</f>
        <v>218181.818181818</v>
      </c>
      <c r="S15" s="4" t="n">
        <f aca="false">R15*Supuestos!$D$19*Supuestos!G$7</f>
        <v>932727.272727273</v>
      </c>
      <c r="T15" s="19" t="n">
        <f aca="false">IFERROR((S15-R15)/R15,"-")</f>
        <v>3.275</v>
      </c>
      <c r="U15" s="4" t="n">
        <f aca="false">Supuestos!$C$19*Supuestos!$K$19/Supuestos!$Q$19</f>
        <v>218181.818181818</v>
      </c>
      <c r="V15" s="4" t="n">
        <f aca="false">U15*Supuestos!$D$19*Supuestos!H$7</f>
        <v>981818.181818182</v>
      </c>
      <c r="W15" s="19" t="n">
        <f aca="false">IFERROR((V15-U15)/U15,"-")</f>
        <v>3.5</v>
      </c>
      <c r="X15" s="4" t="n">
        <f aca="false">Supuestos!$C$19*Supuestos!$L$19/Supuestos!$Q$19</f>
        <v>218181.818181818</v>
      </c>
      <c r="Y15" s="4" t="n">
        <f aca="false">X15*Supuestos!$D$19*Supuestos!I$7</f>
        <v>1030909.09090909</v>
      </c>
      <c r="Z15" s="19" t="n">
        <f aca="false">IFERROR((Y15-X15)/X15,"-")</f>
        <v>3.725</v>
      </c>
      <c r="AA15" s="4" t="n">
        <f aca="false">Supuestos!$C$19*Supuestos!$M$19/Supuestos!$Q$19</f>
        <v>218181.818181818</v>
      </c>
      <c r="AB15" s="4" t="n">
        <f aca="false">AA15*Supuestos!$D$19*Supuestos!J$7</f>
        <v>1080000</v>
      </c>
      <c r="AC15" s="19" t="n">
        <f aca="false">IFERROR((AB15-AA15)/AA15,"-")</f>
        <v>3.95</v>
      </c>
      <c r="AD15" s="4" t="n">
        <f aca="false">Supuestos!$C$19*Supuestos!$N$19/Supuestos!$Q$19</f>
        <v>218181.818181818</v>
      </c>
      <c r="AE15" s="4" t="n">
        <f aca="false">AD15*Supuestos!$D$19*Supuestos!K$7</f>
        <v>1080000</v>
      </c>
      <c r="AF15" s="19" t="n">
        <f aca="false">IFERROR((AE15-AD15)/AD15,"-")</f>
        <v>3.95</v>
      </c>
      <c r="AG15" s="4" t="n">
        <f aca="false">Supuestos!$C$19*Supuestos!$O$19/Supuestos!$Q$19</f>
        <v>218181.818181818</v>
      </c>
      <c r="AH15" s="4" t="n">
        <f aca="false">AG15*Supuestos!$D$19*Supuestos!L$7</f>
        <v>1129090.90909091</v>
      </c>
      <c r="AI15" s="19" t="n">
        <f aca="false">IFERROR((AH15-AG15)/AG15,"-")</f>
        <v>4.175</v>
      </c>
      <c r="AJ15" s="4" t="n">
        <f aca="false">Supuestos!$C$19*Supuestos!$P$19/Supuestos!$Q$19</f>
        <v>218181.818181818</v>
      </c>
      <c r="AK15" s="4" t="n">
        <f aca="false">AJ15*Supuestos!$D$19*Supuestos!M$7</f>
        <v>1276363.63636364</v>
      </c>
      <c r="AL15" s="19" t="n">
        <f aca="false">IFERROR((AK15-AJ15)/AJ15,"-")</f>
        <v>4.85</v>
      </c>
      <c r="AM15" s="20" t="n">
        <f aca="false">C15+F15+I15+L15+O15+R15+U15+X15+AA15+AD15+AG15+AJ15</f>
        <v>2400000</v>
      </c>
      <c r="AN15" s="20" t="n">
        <f aca="false">D15+G15+J15+M15+P15+S15+V15+Y15+AB15+AE15+AH15+AK15</f>
        <v>11389090.9090909</v>
      </c>
      <c r="AO15" s="21" t="n">
        <f aca="false">IFERROR((AN15-AM15)/AM15,"-")</f>
        <v>3.74545454545455</v>
      </c>
    </row>
    <row r="16" customFormat="false" ht="15" hidden="false" customHeight="false" outlineLevel="0" collapsed="false">
      <c r="A16" s="3" t="s">
        <v>8</v>
      </c>
      <c r="B16" s="3" t="s">
        <v>46</v>
      </c>
      <c r="C16" s="4" t="n">
        <f aca="false">Supuestos!$C$20*Supuestos!$E$20/Supuestos!$Q$20</f>
        <v>0</v>
      </c>
      <c r="D16" s="4" t="n">
        <f aca="false">C16*Supuestos!$D$20*Supuestos!B$7</f>
        <v>0</v>
      </c>
      <c r="E16" s="19" t="str">
        <f aca="false">IFERROR((D16-C16)/C16,"-")</f>
        <v>-</v>
      </c>
      <c r="F16" s="4" t="n">
        <f aca="false">Supuestos!$C$20*Supuestos!$F$20/Supuestos!$Q$20</f>
        <v>0</v>
      </c>
      <c r="G16" s="4" t="n">
        <f aca="false">F16*Supuestos!$D$20*Supuestos!C$7</f>
        <v>0</v>
      </c>
      <c r="H16" s="19" t="str">
        <f aca="false">IFERROR((G16-F16)/F16,"-")</f>
        <v>-</v>
      </c>
      <c r="I16" s="4" t="n">
        <f aca="false">Supuestos!$C$20*Supuestos!$G$20/Supuestos!$Q$20</f>
        <v>0</v>
      </c>
      <c r="J16" s="4" t="n">
        <f aca="false">I16*Supuestos!$D$20*Supuestos!D$7</f>
        <v>0</v>
      </c>
      <c r="K16" s="19" t="str">
        <f aca="false">IFERROR((J16-I16)/I16,"-")</f>
        <v>-</v>
      </c>
      <c r="L16" s="4" t="n">
        <f aca="false">Supuestos!$C$20*Supuestos!$H$20/Supuestos!$Q$20</f>
        <v>0</v>
      </c>
      <c r="M16" s="4" t="n">
        <f aca="false">L16*Supuestos!$D$20*Supuestos!E$7</f>
        <v>0</v>
      </c>
      <c r="N16" s="19" t="str">
        <f aca="false">IFERROR((M16-L16)/L16,"-")</f>
        <v>-</v>
      </c>
      <c r="O16" s="4" t="n">
        <f aca="false">Supuestos!$C$20*Supuestos!$I$20/Supuestos!$Q$20</f>
        <v>0</v>
      </c>
      <c r="P16" s="4" t="n">
        <f aca="false">O16*Supuestos!$D$20*Supuestos!F$7</f>
        <v>0</v>
      </c>
      <c r="Q16" s="19" t="str">
        <f aca="false">IFERROR((P16-O16)/O16,"-")</f>
        <v>-</v>
      </c>
      <c r="R16" s="4" t="n">
        <f aca="false">Supuestos!$C$20*Supuestos!$J$20/Supuestos!$Q$20</f>
        <v>0</v>
      </c>
      <c r="S16" s="4" t="n">
        <f aca="false">R16*Supuestos!$D$20*Supuestos!G$7</f>
        <v>0</v>
      </c>
      <c r="T16" s="19" t="str">
        <f aca="false">IFERROR((S16-R16)/R16,"-")</f>
        <v>-</v>
      </c>
      <c r="U16" s="4" t="n">
        <f aca="false">Supuestos!$C$20*Supuestos!$K$20/Supuestos!$Q$20</f>
        <v>0</v>
      </c>
      <c r="V16" s="4" t="n">
        <f aca="false">U16*Supuestos!$D$20*Supuestos!H$7</f>
        <v>0</v>
      </c>
      <c r="W16" s="19" t="str">
        <f aca="false">IFERROR((V16-U16)/U16,"-")</f>
        <v>-</v>
      </c>
      <c r="X16" s="4" t="n">
        <f aca="false">Supuestos!$C$20*Supuestos!$L$20/Supuestos!$Q$20</f>
        <v>0</v>
      </c>
      <c r="Y16" s="4" t="n">
        <f aca="false">X16*Supuestos!$D$20*Supuestos!I$7</f>
        <v>0</v>
      </c>
      <c r="Z16" s="19" t="str">
        <f aca="false">IFERROR((Y16-X16)/X16,"-")</f>
        <v>-</v>
      </c>
      <c r="AA16" s="4" t="n">
        <f aca="false">Supuestos!$C$20*Supuestos!$M$20/Supuestos!$Q$20</f>
        <v>750000</v>
      </c>
      <c r="AB16" s="4" t="n">
        <f aca="false">AA16*Supuestos!$D$20*Supuestos!J$7</f>
        <v>2310000</v>
      </c>
      <c r="AC16" s="19" t="n">
        <f aca="false">IFERROR((AB16-AA16)/AA16,"-")</f>
        <v>2.08</v>
      </c>
      <c r="AD16" s="4" t="n">
        <f aca="false">Supuestos!$C$20*Supuestos!$N$20/Supuestos!$Q$20</f>
        <v>750000</v>
      </c>
      <c r="AE16" s="4" t="n">
        <f aca="false">AD16*Supuestos!$D$20*Supuestos!K$7</f>
        <v>2310000</v>
      </c>
      <c r="AF16" s="19" t="n">
        <f aca="false">IFERROR((AE16-AD16)/AD16,"-")</f>
        <v>2.08</v>
      </c>
      <c r="AG16" s="4" t="n">
        <f aca="false">Supuestos!$C$20*Supuestos!$O$20/Supuestos!$Q$20</f>
        <v>0</v>
      </c>
      <c r="AH16" s="4" t="n">
        <f aca="false">AG16*Supuestos!$D$20*Supuestos!L$7</f>
        <v>0</v>
      </c>
      <c r="AI16" s="19" t="str">
        <f aca="false">IFERROR((AH16-AG16)/AG16,"-")</f>
        <v>-</v>
      </c>
      <c r="AJ16" s="4" t="n">
        <f aca="false">Supuestos!$C$20*Supuestos!$P$20/Supuestos!$Q$20</f>
        <v>0</v>
      </c>
      <c r="AK16" s="4" t="n">
        <f aca="false">AJ16*Supuestos!$D$20*Supuestos!M$7</f>
        <v>0</v>
      </c>
      <c r="AL16" s="19" t="str">
        <f aca="false">IFERROR((AK16-AJ16)/AJ16,"-")</f>
        <v>-</v>
      </c>
      <c r="AM16" s="20" t="n">
        <f aca="false">C16+F16+I16+L16+O16+R16+U16+X16+AA16+AD16+AG16+AJ16</f>
        <v>1500000</v>
      </c>
      <c r="AN16" s="20" t="n">
        <f aca="false">D16+G16+J16+M16+P16+S16+V16+Y16+AB16+AE16+AH16+AK16</f>
        <v>4620000</v>
      </c>
      <c r="AO16" s="21" t="n">
        <f aca="false">IFERROR((AN16-AM16)/AM16,"-")</f>
        <v>2.08</v>
      </c>
    </row>
    <row r="17" customFormat="false" ht="15.75" hidden="false" customHeight="true" outlineLevel="0" collapsed="false">
      <c r="A17" s="8" t="s">
        <v>47</v>
      </c>
      <c r="B17" s="8"/>
      <c r="C17" s="9" t="n">
        <f aca="false">C18+C19+C20+C21+C22+C23+C24</f>
        <v>3000000</v>
      </c>
      <c r="D17" s="9" t="n">
        <f aca="false">D18+D19+D20+D21+D22+D23+D24</f>
        <v>9000000</v>
      </c>
      <c r="E17" s="18" t="n">
        <f aca="false">IFERROR((D17-C17)/C17,"-")</f>
        <v>2</v>
      </c>
      <c r="F17" s="9" t="n">
        <f aca="false">F18+F19+F20+F21+F22+F23+F24</f>
        <v>5613636.36363636</v>
      </c>
      <c r="G17" s="9" t="n">
        <f aca="false">G18+G19+G20+G21+G22+G23+G24</f>
        <v>19210227.2727273</v>
      </c>
      <c r="H17" s="18" t="n">
        <f aca="false">IFERROR((G17-F17)/F17,"-")</f>
        <v>2.42206477732794</v>
      </c>
      <c r="I17" s="9" t="n">
        <f aca="false">I18+I19+I20+I21+I22+I23+I24</f>
        <v>3913636.36363636</v>
      </c>
      <c r="J17" s="9" t="n">
        <f aca="false">J18+J19+J20+J21+J22+J23+J24</f>
        <v>12631090.9090909</v>
      </c>
      <c r="K17" s="18" t="n">
        <f aca="false">IFERROR((J17-I17)/I17,"-")</f>
        <v>2.22745644599303</v>
      </c>
      <c r="L17" s="9" t="n">
        <f aca="false">L18+L19+L20+L21+L22+L23+L24</f>
        <v>4413636.36363636</v>
      </c>
      <c r="M17" s="9" t="n">
        <f aca="false">M18+M19+M20+M21+M22+M23+M24</f>
        <v>13841863.6363636</v>
      </c>
      <c r="N17" s="18" t="n">
        <f aca="false">IFERROR((M17-L17)/L17,"-")</f>
        <v>2.13615859938208</v>
      </c>
      <c r="O17" s="9" t="n">
        <f aca="false">O18+O19+O20+O21+O22+O23+O24</f>
        <v>4413636.36363636</v>
      </c>
      <c r="P17" s="9" t="n">
        <f aca="false">P18+P19+P20+P21+P22+P23+P24</f>
        <v>17098772.7272727</v>
      </c>
      <c r="Q17" s="18" t="n">
        <f aca="false">IFERROR((P17-O17)/O17,"-")</f>
        <v>2.87407826982492</v>
      </c>
      <c r="R17" s="9" t="n">
        <f aca="false">R18+R19+R20+R21+R22+R23+R24</f>
        <v>3163636.36363636</v>
      </c>
      <c r="S17" s="9" t="n">
        <f aca="false">S18+S19+S20+S21+S22+S23+S24</f>
        <v>11907818.1818182</v>
      </c>
      <c r="T17" s="18" t="n">
        <f aca="false">IFERROR((S17-R17)/R17,"-")</f>
        <v>2.76396551724138</v>
      </c>
      <c r="U17" s="9" t="n">
        <f aca="false">U18+U19+U20+U21+U22+U23+U24</f>
        <v>3163636.36363636</v>
      </c>
      <c r="V17" s="9" t="n">
        <f aca="false">V18+V19+V20+V21+V22+V23+V24</f>
        <v>12534545.4545455</v>
      </c>
      <c r="W17" s="18" t="n">
        <f aca="false">IFERROR((V17-U17)/U17,"-")</f>
        <v>2.96206896551724</v>
      </c>
      <c r="X17" s="9" t="n">
        <f aca="false">X18+X19+X20+X21+X22+X23+X24</f>
        <v>3913636.36363636</v>
      </c>
      <c r="Y17" s="9" t="n">
        <f aca="false">Y18+Y19+Y20+Y21+Y22+Y23+Y24</f>
        <v>14736272.7272727</v>
      </c>
      <c r="Z17" s="18" t="n">
        <f aca="false">IFERROR((Y17-X17)/X17,"-")</f>
        <v>2.76536585365854</v>
      </c>
      <c r="AA17" s="9" t="n">
        <f aca="false">AA18+AA19+AA20+AA21+AA22+AA23+AA24</f>
        <v>3913636.36363636</v>
      </c>
      <c r="AB17" s="9" t="n">
        <f aca="false">AB18+AB19+AB20+AB21+AB22+AB23+AB24</f>
        <v>15438000</v>
      </c>
      <c r="AC17" s="18" t="n">
        <f aca="false">IFERROR((AB17-AA17)/AA17,"-")</f>
        <v>2.94466898954704</v>
      </c>
      <c r="AD17" s="9" t="n">
        <f aca="false">AD18+AD19+AD20+AD21+AD22+AD23+AD24</f>
        <v>4813636.36363636</v>
      </c>
      <c r="AE17" s="9" t="n">
        <f aca="false">AE18+AE19+AE20+AE21+AE22+AE23+AE24</f>
        <v>18012000</v>
      </c>
      <c r="AF17" s="18" t="n">
        <f aca="false">IFERROR((AE17-AD17)/AD17,"-")</f>
        <v>2.74186968838527</v>
      </c>
      <c r="AG17" s="9" t="n">
        <f aca="false">AG18+AG19+AG20+AG21+AG22+AG23+AG24</f>
        <v>4813636.36363636</v>
      </c>
      <c r="AH17" s="9" t="n">
        <f aca="false">AH18+AH19+AH20+AH21+AH22+AH23+AH24</f>
        <v>18830727.2727273</v>
      </c>
      <c r="AI17" s="18" t="n">
        <f aca="false">IFERROR((AH17-AG17)/AG17,"-")</f>
        <v>2.91195467422096</v>
      </c>
      <c r="AJ17" s="9" t="n">
        <f aca="false">AJ18+AJ19+AJ20+AJ21+AJ22+AJ23+AJ24</f>
        <v>2663636.36363636</v>
      </c>
      <c r="AK17" s="9" t="n">
        <f aca="false">AK18+AK19+AK20+AK21+AK22+AK23+AK24</f>
        <v>13369909.0909091</v>
      </c>
      <c r="AL17" s="18" t="n">
        <f aca="false">IFERROR((AK17-AJ17)/AJ17,"-")</f>
        <v>4.01941979522184</v>
      </c>
      <c r="AM17" s="9" t="n">
        <f aca="false">C17+F17+I17+L17+O17+R17+U17+X17+AA17+AD17+AG17+AJ17</f>
        <v>47800000</v>
      </c>
      <c r="AN17" s="9" t="n">
        <f aca="false">D17+G17+J17+M17+P17+S17+V17+Y17+AB17+AE17+AH17+AK17</f>
        <v>176611227.272727</v>
      </c>
      <c r="AO17" s="18" t="n">
        <f aca="false">IFERROR((AN17-AM17)/AM17,"-")</f>
        <v>2.69479554963865</v>
      </c>
    </row>
    <row r="18" customFormat="false" ht="15" hidden="false" customHeight="false" outlineLevel="0" collapsed="false">
      <c r="A18" s="3" t="s">
        <v>9</v>
      </c>
      <c r="B18" s="3" t="s">
        <v>48</v>
      </c>
      <c r="C18" s="4" t="n">
        <f aca="false">Supuestos!$C$21*Supuestos!$E$21/Supuestos!$Q$21</f>
        <v>3000000</v>
      </c>
      <c r="D18" s="4" t="n">
        <f aca="false">C18*Supuestos!$D$21*Supuestos!B$7</f>
        <v>9000000</v>
      </c>
      <c r="E18" s="19" t="n">
        <f aca="false">IFERROR((D18-C18)/C18,"-")</f>
        <v>2</v>
      </c>
      <c r="F18" s="4" t="n">
        <f aca="false">Supuestos!$C$21*Supuestos!$F$21/Supuestos!$Q$21</f>
        <v>3000000</v>
      </c>
      <c r="G18" s="4" t="n">
        <f aca="false">F18*Supuestos!$D$21*Supuestos!C$7</f>
        <v>8625000</v>
      </c>
      <c r="H18" s="19" t="n">
        <f aca="false">IFERROR((G18-F18)/F18,"-")</f>
        <v>1.875</v>
      </c>
      <c r="I18" s="4" t="n">
        <f aca="false">Supuestos!$C$21*Supuestos!$G$21/Supuestos!$Q$21</f>
        <v>0</v>
      </c>
      <c r="J18" s="4" t="n">
        <f aca="false">I18*Supuestos!$D$21*Supuestos!D$7</f>
        <v>0</v>
      </c>
      <c r="K18" s="19" t="str">
        <f aca="false">IFERROR((J18-I18)/I18,"-")</f>
        <v>-</v>
      </c>
      <c r="L18" s="4" t="n">
        <f aca="false">Supuestos!$C$21*Supuestos!$H$21/Supuestos!$Q$21</f>
        <v>0</v>
      </c>
      <c r="M18" s="4" t="n">
        <f aca="false">L18*Supuestos!$D$21*Supuestos!E$7</f>
        <v>0</v>
      </c>
      <c r="N18" s="19" t="str">
        <f aca="false">IFERROR((M18-L18)/L18,"-")</f>
        <v>-</v>
      </c>
      <c r="O18" s="4" t="n">
        <f aca="false">Supuestos!$C$21*Supuestos!$I$21/Supuestos!$Q$21</f>
        <v>0</v>
      </c>
      <c r="P18" s="4" t="n">
        <f aca="false">O18*Supuestos!$D$21*Supuestos!F$7</f>
        <v>0</v>
      </c>
      <c r="Q18" s="19" t="str">
        <f aca="false">IFERROR((P18-O18)/O18,"-")</f>
        <v>-</v>
      </c>
      <c r="R18" s="4" t="n">
        <f aca="false">Supuestos!$C$21*Supuestos!$J$21/Supuestos!$Q$21</f>
        <v>0</v>
      </c>
      <c r="S18" s="4" t="n">
        <f aca="false">R18*Supuestos!$D$21*Supuestos!G$7</f>
        <v>0</v>
      </c>
      <c r="T18" s="19" t="str">
        <f aca="false">IFERROR((S18-R18)/R18,"-")</f>
        <v>-</v>
      </c>
      <c r="U18" s="4" t="n">
        <f aca="false">Supuestos!$C$21*Supuestos!$K$21/Supuestos!$Q$21</f>
        <v>0</v>
      </c>
      <c r="V18" s="4" t="n">
        <f aca="false">U18*Supuestos!$D$21*Supuestos!H$7</f>
        <v>0</v>
      </c>
      <c r="W18" s="19" t="str">
        <f aca="false">IFERROR((V18-U18)/U18,"-")</f>
        <v>-</v>
      </c>
      <c r="X18" s="4" t="n">
        <f aca="false">Supuestos!$C$21*Supuestos!$L$21/Supuestos!$Q$21</f>
        <v>0</v>
      </c>
      <c r="Y18" s="4" t="n">
        <f aca="false">X18*Supuestos!$D$21*Supuestos!I$7</f>
        <v>0</v>
      </c>
      <c r="Z18" s="19" t="str">
        <f aca="false">IFERROR((Y18-X18)/X18,"-")</f>
        <v>-</v>
      </c>
      <c r="AA18" s="4" t="n">
        <f aca="false">Supuestos!$C$21*Supuestos!$M$21/Supuestos!$Q$21</f>
        <v>0</v>
      </c>
      <c r="AB18" s="4" t="n">
        <f aca="false">AA18*Supuestos!$D$21*Supuestos!J$7</f>
        <v>0</v>
      </c>
      <c r="AC18" s="19" t="str">
        <f aca="false">IFERROR((AB18-AA18)/AA18,"-")</f>
        <v>-</v>
      </c>
      <c r="AD18" s="4" t="n">
        <f aca="false">Supuestos!$C$21*Supuestos!$N$21/Supuestos!$Q$21</f>
        <v>0</v>
      </c>
      <c r="AE18" s="4" t="n">
        <f aca="false">AD18*Supuestos!$D$21*Supuestos!K$7</f>
        <v>0</v>
      </c>
      <c r="AF18" s="19" t="str">
        <f aca="false">IFERROR((AE18-AD18)/AD18,"-")</f>
        <v>-</v>
      </c>
      <c r="AG18" s="4" t="n">
        <f aca="false">Supuestos!$C$21*Supuestos!$O$21/Supuestos!$Q$21</f>
        <v>0</v>
      </c>
      <c r="AH18" s="4" t="n">
        <f aca="false">AG18*Supuestos!$D$21*Supuestos!L$7</f>
        <v>0</v>
      </c>
      <c r="AI18" s="19" t="str">
        <f aca="false">IFERROR((AH18-AG18)/AG18,"-")</f>
        <v>-</v>
      </c>
      <c r="AJ18" s="4" t="n">
        <f aca="false">Supuestos!$C$21*Supuestos!$P$21/Supuestos!$Q$21</f>
        <v>0</v>
      </c>
      <c r="AK18" s="4" t="n">
        <f aca="false">AJ18*Supuestos!$D$21*Supuestos!M$7</f>
        <v>0</v>
      </c>
      <c r="AL18" s="19" t="str">
        <f aca="false">IFERROR((AK18-AJ18)/AJ18,"-")</f>
        <v>-</v>
      </c>
      <c r="AM18" s="20" t="n">
        <f aca="false">C18+F18+I18+L18+O18+R18+U18+X18+AA18+AD18+AG18+AJ18</f>
        <v>6000000</v>
      </c>
      <c r="AN18" s="20" t="n">
        <f aca="false">D18+G18+J18+M18+P18+S18+V18+Y18+AB18+AE18+AH18+AK18</f>
        <v>17625000</v>
      </c>
      <c r="AO18" s="21" t="n">
        <f aca="false">IFERROR((AN18-AM18)/AM18,"-")</f>
        <v>1.9375</v>
      </c>
    </row>
    <row r="19" customFormat="false" ht="15" hidden="false" customHeight="false" outlineLevel="0" collapsed="false">
      <c r="A19" s="3" t="s">
        <v>9</v>
      </c>
      <c r="B19" s="3" t="s">
        <v>49</v>
      </c>
      <c r="C19" s="4" t="n">
        <f aca="false">Supuestos!$C$22*Supuestos!$E$22/Supuestos!$Q$22</f>
        <v>0</v>
      </c>
      <c r="D19" s="4" t="n">
        <f aca="false">C19*Supuestos!$D$22*Supuestos!B$7</f>
        <v>0</v>
      </c>
      <c r="E19" s="19" t="str">
        <f aca="false">IFERROR((D19-C19)/C19,"-")</f>
        <v>-</v>
      </c>
      <c r="F19" s="4" t="n">
        <f aca="false">Supuestos!$C$22*Supuestos!$F$22/Supuestos!$Q$22</f>
        <v>1363636.36363636</v>
      </c>
      <c r="G19" s="4" t="n">
        <f aca="false">F19*Supuestos!$D$22*Supuestos!C$7</f>
        <v>6272727.27272727</v>
      </c>
      <c r="H19" s="19" t="n">
        <f aca="false">IFERROR((G19-F19)/F19,"-")</f>
        <v>3.6</v>
      </c>
      <c r="I19" s="4" t="n">
        <f aca="false">Supuestos!$C$22*Supuestos!$G$22/Supuestos!$Q$22</f>
        <v>1363636.36363636</v>
      </c>
      <c r="J19" s="4" t="n">
        <f aca="false">I19*Supuestos!$D$22*Supuestos!D$7</f>
        <v>4909090.90909091</v>
      </c>
      <c r="K19" s="19" t="n">
        <f aca="false">IFERROR((J19-I19)/I19,"-")</f>
        <v>2.6</v>
      </c>
      <c r="L19" s="4" t="n">
        <f aca="false">Supuestos!$C$22*Supuestos!$H$22/Supuestos!$Q$22</f>
        <v>1363636.36363636</v>
      </c>
      <c r="M19" s="4" t="n">
        <f aca="false">L19*Supuestos!$D$22*Supuestos!E$7</f>
        <v>4636363.63636364</v>
      </c>
      <c r="N19" s="19" t="n">
        <f aca="false">IFERROR((M19-L19)/L19,"-")</f>
        <v>2.4</v>
      </c>
      <c r="O19" s="4" t="n">
        <f aca="false">Supuestos!$C$22*Supuestos!$I$22/Supuestos!$Q$22</f>
        <v>1363636.36363636</v>
      </c>
      <c r="P19" s="4" t="n">
        <f aca="false">O19*Supuestos!$D$22*Supuestos!F$7</f>
        <v>5727272.72727273</v>
      </c>
      <c r="Q19" s="19" t="n">
        <f aca="false">IFERROR((P19-O19)/O19,"-")</f>
        <v>3.2</v>
      </c>
      <c r="R19" s="4" t="n">
        <f aca="false">Supuestos!$C$22*Supuestos!$J$22/Supuestos!$Q$22</f>
        <v>1363636.36363636</v>
      </c>
      <c r="S19" s="4" t="n">
        <f aca="false">R19*Supuestos!$D$22*Supuestos!G$7</f>
        <v>5181818.18181818</v>
      </c>
      <c r="T19" s="19" t="n">
        <f aca="false">IFERROR((S19-R19)/R19,"-")</f>
        <v>2.8</v>
      </c>
      <c r="U19" s="4" t="n">
        <f aca="false">Supuestos!$C$22*Supuestos!$K$22/Supuestos!$Q$22</f>
        <v>1363636.36363636</v>
      </c>
      <c r="V19" s="4" t="n">
        <f aca="false">U19*Supuestos!$D$22*Supuestos!H$7</f>
        <v>5454545.45454545</v>
      </c>
      <c r="W19" s="19" t="n">
        <f aca="false">IFERROR((V19-U19)/U19,"-")</f>
        <v>3</v>
      </c>
      <c r="X19" s="4" t="n">
        <f aca="false">Supuestos!$C$22*Supuestos!$L$22/Supuestos!$Q$22</f>
        <v>1363636.36363636</v>
      </c>
      <c r="Y19" s="4" t="n">
        <f aca="false">X19*Supuestos!$D$22*Supuestos!I$7</f>
        <v>5727272.72727273</v>
      </c>
      <c r="Z19" s="19" t="n">
        <f aca="false">IFERROR((Y19-X19)/X19,"-")</f>
        <v>3.2</v>
      </c>
      <c r="AA19" s="4" t="n">
        <f aca="false">Supuestos!$C$22*Supuestos!$M$22/Supuestos!$Q$22</f>
        <v>1363636.36363636</v>
      </c>
      <c r="AB19" s="4" t="n">
        <f aca="false">AA19*Supuestos!$D$22*Supuestos!J$7</f>
        <v>6000000</v>
      </c>
      <c r="AC19" s="19" t="n">
        <f aca="false">IFERROR((AB19-AA19)/AA19,"-")</f>
        <v>3.4</v>
      </c>
      <c r="AD19" s="4" t="n">
        <f aca="false">Supuestos!$C$22*Supuestos!$N$22/Supuestos!$Q$22</f>
        <v>1363636.36363636</v>
      </c>
      <c r="AE19" s="4" t="n">
        <f aca="false">AD19*Supuestos!$D$22*Supuestos!K$7</f>
        <v>6000000</v>
      </c>
      <c r="AF19" s="19" t="n">
        <f aca="false">IFERROR((AE19-AD19)/AD19,"-")</f>
        <v>3.4</v>
      </c>
      <c r="AG19" s="4" t="n">
        <f aca="false">Supuestos!$C$22*Supuestos!$O$22/Supuestos!$Q$22</f>
        <v>1363636.36363636</v>
      </c>
      <c r="AH19" s="4" t="n">
        <f aca="false">AG19*Supuestos!$D$22*Supuestos!L$7</f>
        <v>6272727.27272727</v>
      </c>
      <c r="AI19" s="19" t="n">
        <f aca="false">IFERROR((AH19-AG19)/AG19,"-")</f>
        <v>3.6</v>
      </c>
      <c r="AJ19" s="4" t="n">
        <f aca="false">Supuestos!$C$22*Supuestos!$P$22/Supuestos!$Q$22</f>
        <v>1363636.36363636</v>
      </c>
      <c r="AK19" s="4" t="n">
        <f aca="false">AJ19*Supuestos!$D$22*Supuestos!M$7</f>
        <v>7090909.09090909</v>
      </c>
      <c r="AL19" s="19" t="n">
        <f aca="false">IFERROR((AK19-AJ19)/AJ19,"-")</f>
        <v>4.2</v>
      </c>
      <c r="AM19" s="20" t="n">
        <f aca="false">C19+F19+I19+L19+O19+R19+U19+X19+AA19+AD19+AG19+AJ19</f>
        <v>15000000</v>
      </c>
      <c r="AN19" s="20" t="n">
        <f aca="false">D19+G19+J19+M19+P19+S19+V19+Y19+AB19+AE19+AH19+AK19</f>
        <v>63272727.2727273</v>
      </c>
      <c r="AO19" s="21" t="n">
        <f aca="false">IFERROR((AN19-AM19)/AM19,"-")</f>
        <v>3.21818181818182</v>
      </c>
    </row>
    <row r="20" customFormat="false" ht="15" hidden="false" customHeight="false" outlineLevel="0" collapsed="false">
      <c r="A20" s="3" t="s">
        <v>9</v>
      </c>
      <c r="B20" s="3" t="s">
        <v>50</v>
      </c>
      <c r="C20" s="4" t="n">
        <f aca="false">Supuestos!$C$23*Supuestos!$E$23/Supuestos!$Q$23</f>
        <v>0</v>
      </c>
      <c r="D20" s="4" t="n">
        <f aca="false">C20*Supuestos!$D$23*Supuestos!B$7</f>
        <v>0</v>
      </c>
      <c r="E20" s="19" t="str">
        <f aca="false">IFERROR((D20-C20)/C20,"-")</f>
        <v>-</v>
      </c>
      <c r="F20" s="4" t="n">
        <f aca="false">Supuestos!$C$23*Supuestos!$F$23/Supuestos!$Q$23</f>
        <v>1250000</v>
      </c>
      <c r="G20" s="4" t="n">
        <f aca="false">F20*Supuestos!$D$23*Supuestos!C$7</f>
        <v>4312500</v>
      </c>
      <c r="H20" s="19" t="n">
        <f aca="false">IFERROR((G20-F20)/F20,"-")</f>
        <v>2.45</v>
      </c>
      <c r="I20" s="4" t="n">
        <f aca="false">Supuestos!$C$23*Supuestos!$G$23/Supuestos!$Q$23</f>
        <v>1250000</v>
      </c>
      <c r="J20" s="4" t="n">
        <f aca="false">I20*Supuestos!$D$23*Supuestos!D$7</f>
        <v>3375000</v>
      </c>
      <c r="K20" s="19" t="n">
        <f aca="false">IFERROR((J20-I20)/I20,"-")</f>
        <v>1.7</v>
      </c>
      <c r="L20" s="4" t="n">
        <f aca="false">Supuestos!$C$23*Supuestos!$H$23/Supuestos!$Q$23</f>
        <v>1250000</v>
      </c>
      <c r="M20" s="4" t="n">
        <f aca="false">L20*Supuestos!$D$23*Supuestos!E$7</f>
        <v>3187500</v>
      </c>
      <c r="N20" s="19" t="n">
        <f aca="false">IFERROR((M20-L20)/L20,"-")</f>
        <v>1.55</v>
      </c>
      <c r="O20" s="4" t="n">
        <f aca="false">Supuestos!$C$23*Supuestos!$I$23/Supuestos!$Q$23</f>
        <v>1250000</v>
      </c>
      <c r="P20" s="4" t="n">
        <f aca="false">O20*Supuestos!$D$23*Supuestos!F$7</f>
        <v>3937500</v>
      </c>
      <c r="Q20" s="19" t="n">
        <f aca="false">IFERROR((P20-O20)/O20,"-")</f>
        <v>2.15</v>
      </c>
      <c r="R20" s="4" t="n">
        <f aca="false">Supuestos!$C$23*Supuestos!$J$23/Supuestos!$Q$23</f>
        <v>0</v>
      </c>
      <c r="S20" s="4" t="n">
        <f aca="false">R20*Supuestos!$D$23*Supuestos!G$7</f>
        <v>0</v>
      </c>
      <c r="T20" s="19" t="str">
        <f aca="false">IFERROR((S20-R20)/R20,"-")</f>
        <v>-</v>
      </c>
      <c r="U20" s="4" t="n">
        <f aca="false">Supuestos!$C$23*Supuestos!$K$23/Supuestos!$Q$23</f>
        <v>0</v>
      </c>
      <c r="V20" s="4" t="n">
        <f aca="false">U20*Supuestos!$D$23*Supuestos!H$7</f>
        <v>0</v>
      </c>
      <c r="W20" s="19" t="str">
        <f aca="false">IFERROR((V20-U20)/U20,"-")</f>
        <v>-</v>
      </c>
      <c r="X20" s="4" t="n">
        <f aca="false">Supuestos!$C$23*Supuestos!$L$23/Supuestos!$Q$23</f>
        <v>1250000</v>
      </c>
      <c r="Y20" s="4" t="n">
        <f aca="false">X20*Supuestos!$D$23*Supuestos!I$7</f>
        <v>3937500</v>
      </c>
      <c r="Z20" s="19" t="n">
        <f aca="false">IFERROR((Y20-X20)/X20,"-")</f>
        <v>2.15</v>
      </c>
      <c r="AA20" s="4" t="n">
        <f aca="false">Supuestos!$C$23*Supuestos!$M$23/Supuestos!$Q$23</f>
        <v>1250000</v>
      </c>
      <c r="AB20" s="4" t="n">
        <f aca="false">AA20*Supuestos!$D$23*Supuestos!J$7</f>
        <v>4125000</v>
      </c>
      <c r="AC20" s="19" t="n">
        <f aca="false">IFERROR((AB20-AA20)/AA20,"-")</f>
        <v>2.3</v>
      </c>
      <c r="AD20" s="4" t="n">
        <f aca="false">Supuestos!$C$23*Supuestos!$N$23/Supuestos!$Q$23</f>
        <v>1250000</v>
      </c>
      <c r="AE20" s="4" t="n">
        <f aca="false">AD20*Supuestos!$D$23*Supuestos!K$7</f>
        <v>4125000</v>
      </c>
      <c r="AF20" s="19" t="n">
        <f aca="false">IFERROR((AE20-AD20)/AD20,"-")</f>
        <v>2.3</v>
      </c>
      <c r="AG20" s="4" t="n">
        <f aca="false">Supuestos!$C$23*Supuestos!$O$23/Supuestos!$Q$23</f>
        <v>1250000</v>
      </c>
      <c r="AH20" s="4" t="n">
        <f aca="false">AG20*Supuestos!$D$23*Supuestos!L$7</f>
        <v>4312500</v>
      </c>
      <c r="AI20" s="19" t="n">
        <f aca="false">IFERROR((AH20-AG20)/AG20,"-")</f>
        <v>2.45</v>
      </c>
      <c r="AJ20" s="4" t="n">
        <f aca="false">Supuestos!$C$23*Supuestos!$P$23/Supuestos!$Q$23</f>
        <v>0</v>
      </c>
      <c r="AK20" s="4" t="n">
        <f aca="false">AJ20*Supuestos!$D$23*Supuestos!M$7</f>
        <v>0</v>
      </c>
      <c r="AL20" s="19" t="str">
        <f aca="false">IFERROR((AK20-AJ20)/AJ20,"-")</f>
        <v>-</v>
      </c>
      <c r="AM20" s="20" t="n">
        <f aca="false">C20+F20+I20+L20+O20+R20+U20+X20+AA20+AD20+AG20+AJ20</f>
        <v>10000000</v>
      </c>
      <c r="AN20" s="20" t="n">
        <f aca="false">D20+G20+J20+M20+P20+S20+V20+Y20+AB20+AE20+AH20+AK20</f>
        <v>31312500</v>
      </c>
      <c r="AO20" s="21" t="n">
        <f aca="false">IFERROR((AN20-AM20)/AM20,"-")</f>
        <v>2.13125</v>
      </c>
    </row>
    <row r="21" customFormat="false" ht="15" hidden="false" customHeight="false" outlineLevel="0" collapsed="false">
      <c r="A21" s="3" t="s">
        <v>9</v>
      </c>
      <c r="B21" s="3" t="s">
        <v>51</v>
      </c>
      <c r="C21" s="4" t="n">
        <f aca="false">Supuestos!$C$24*Supuestos!$E$24/Supuestos!$Q$24</f>
        <v>0</v>
      </c>
      <c r="D21" s="4" t="n">
        <f aca="false">C21*Supuestos!$D$24*Supuestos!B$7</f>
        <v>0</v>
      </c>
      <c r="E21" s="19" t="str">
        <f aca="false">IFERROR((D21-C21)/C21,"-")</f>
        <v>-</v>
      </c>
      <c r="F21" s="4" t="n">
        <f aca="false">Supuestos!$C$24*Supuestos!$F$24/Supuestos!$Q$24</f>
        <v>0</v>
      </c>
      <c r="G21" s="4" t="n">
        <f aca="false">F21*Supuestos!$D$24*Supuestos!C$7</f>
        <v>0</v>
      </c>
      <c r="H21" s="19" t="str">
        <f aca="false">IFERROR((G21-F21)/F21,"-")</f>
        <v>-</v>
      </c>
      <c r="I21" s="4" t="n">
        <f aca="false">Supuestos!$C$24*Supuestos!$G$24/Supuestos!$Q$24</f>
        <v>900000</v>
      </c>
      <c r="J21" s="4" t="n">
        <f aca="false">I21*Supuestos!$D$24*Supuestos!D$7</f>
        <v>2835000</v>
      </c>
      <c r="K21" s="19" t="n">
        <f aca="false">IFERROR((J21-I21)/I21,"-")</f>
        <v>2.15</v>
      </c>
      <c r="L21" s="4" t="n">
        <f aca="false">Supuestos!$C$24*Supuestos!$H$24/Supuestos!$Q$24</f>
        <v>900000</v>
      </c>
      <c r="M21" s="4" t="n">
        <f aca="false">L21*Supuestos!$D$24*Supuestos!E$7</f>
        <v>2677500</v>
      </c>
      <c r="N21" s="19" t="n">
        <f aca="false">IFERROR((M21-L21)/L21,"-")</f>
        <v>1.975</v>
      </c>
      <c r="O21" s="4" t="n">
        <f aca="false">Supuestos!$C$24*Supuestos!$I$24/Supuestos!$Q$24</f>
        <v>900000</v>
      </c>
      <c r="P21" s="4" t="n">
        <f aca="false">O21*Supuestos!$D$24*Supuestos!F$7</f>
        <v>3307500</v>
      </c>
      <c r="Q21" s="19" t="n">
        <f aca="false">IFERROR((P21-O21)/O21,"-")</f>
        <v>2.675</v>
      </c>
      <c r="R21" s="4" t="n">
        <f aca="false">Supuestos!$C$24*Supuestos!$J$24/Supuestos!$Q$24</f>
        <v>900000</v>
      </c>
      <c r="S21" s="4" t="n">
        <f aca="false">R21*Supuestos!$D$24*Supuestos!G$7</f>
        <v>2992500</v>
      </c>
      <c r="T21" s="19" t="n">
        <f aca="false">IFERROR((S21-R21)/R21,"-")</f>
        <v>2.325</v>
      </c>
      <c r="U21" s="4" t="n">
        <f aca="false">Supuestos!$C$24*Supuestos!$K$24/Supuestos!$Q$24</f>
        <v>900000</v>
      </c>
      <c r="V21" s="4" t="n">
        <f aca="false">U21*Supuestos!$D$24*Supuestos!H$7</f>
        <v>3150000</v>
      </c>
      <c r="W21" s="19" t="n">
        <f aca="false">IFERROR((V21-U21)/U21,"-")</f>
        <v>2.5</v>
      </c>
      <c r="X21" s="4" t="n">
        <f aca="false">Supuestos!$C$24*Supuestos!$L$24/Supuestos!$Q$24</f>
        <v>900000</v>
      </c>
      <c r="Y21" s="4" t="n">
        <f aca="false">X21*Supuestos!$D$24*Supuestos!I$7</f>
        <v>3307500</v>
      </c>
      <c r="Z21" s="19" t="n">
        <f aca="false">IFERROR((Y21-X21)/X21,"-")</f>
        <v>2.675</v>
      </c>
      <c r="AA21" s="4" t="n">
        <f aca="false">Supuestos!$C$24*Supuestos!$M$24/Supuestos!$Q$24</f>
        <v>900000</v>
      </c>
      <c r="AB21" s="4" t="n">
        <f aca="false">AA21*Supuestos!$D$24*Supuestos!J$7</f>
        <v>3465000</v>
      </c>
      <c r="AC21" s="19" t="n">
        <f aca="false">IFERROR((AB21-AA21)/AA21,"-")</f>
        <v>2.85</v>
      </c>
      <c r="AD21" s="4" t="n">
        <f aca="false">Supuestos!$C$24*Supuestos!$N$24/Supuestos!$Q$24</f>
        <v>900000</v>
      </c>
      <c r="AE21" s="4" t="n">
        <f aca="false">AD21*Supuestos!$D$24*Supuestos!K$7</f>
        <v>3465000</v>
      </c>
      <c r="AF21" s="19" t="n">
        <f aca="false">IFERROR((AE21-AD21)/AD21,"-")</f>
        <v>2.85</v>
      </c>
      <c r="AG21" s="4" t="n">
        <f aca="false">Supuestos!$C$24*Supuestos!$O$24/Supuestos!$Q$24</f>
        <v>900000</v>
      </c>
      <c r="AH21" s="4" t="n">
        <f aca="false">AG21*Supuestos!$D$24*Supuestos!L$7</f>
        <v>3622500</v>
      </c>
      <c r="AI21" s="19" t="n">
        <f aca="false">IFERROR((AH21-AG21)/AG21,"-")</f>
        <v>3.025</v>
      </c>
      <c r="AJ21" s="4" t="n">
        <f aca="false">Supuestos!$C$24*Supuestos!$P$24/Supuestos!$Q$24</f>
        <v>900000</v>
      </c>
      <c r="AK21" s="4" t="n">
        <f aca="false">AJ21*Supuestos!$D$24*Supuestos!M$7</f>
        <v>4095000</v>
      </c>
      <c r="AL21" s="19" t="n">
        <f aca="false">IFERROR((AK21-AJ21)/AJ21,"-")</f>
        <v>3.55</v>
      </c>
      <c r="AM21" s="20" t="n">
        <f aca="false">C21+F21+I21+L21+O21+R21+U21+X21+AA21+AD21+AG21+AJ21</f>
        <v>9000000</v>
      </c>
      <c r="AN21" s="20" t="n">
        <f aca="false">D21+G21+J21+M21+P21+S21+V21+Y21+AB21+AE21+AH21+AK21</f>
        <v>32917500</v>
      </c>
      <c r="AO21" s="21" t="n">
        <f aca="false">IFERROR((AN21-AM21)/AM21,"-")</f>
        <v>2.6575</v>
      </c>
    </row>
    <row r="22" customFormat="false" ht="15" hidden="false" customHeight="false" outlineLevel="0" collapsed="false">
      <c r="A22" s="3" t="s">
        <v>9</v>
      </c>
      <c r="B22" s="3" t="s">
        <v>52</v>
      </c>
      <c r="C22" s="4" t="n">
        <f aca="false">Supuestos!$C$25*Supuestos!$E$25/Supuestos!$Q$25</f>
        <v>0</v>
      </c>
      <c r="D22" s="4" t="n">
        <f aca="false">C22*Supuestos!$D$25*Supuestos!B$7</f>
        <v>0</v>
      </c>
      <c r="E22" s="19" t="str">
        <f aca="false">IFERROR((D22-C22)/C22,"-")</f>
        <v>-</v>
      </c>
      <c r="F22" s="4" t="n">
        <f aca="false">Supuestos!$C$25*Supuestos!$F$25/Supuestos!$Q$25</f>
        <v>0</v>
      </c>
      <c r="G22" s="4" t="n">
        <f aca="false">F22*Supuestos!$D$25*Supuestos!C$7</f>
        <v>0</v>
      </c>
      <c r="H22" s="19" t="str">
        <f aca="false">IFERROR((G22-F22)/F22,"-")</f>
        <v>-</v>
      </c>
      <c r="I22" s="4" t="n">
        <f aca="false">Supuestos!$C$25*Supuestos!$G$25/Supuestos!$Q$25</f>
        <v>400000</v>
      </c>
      <c r="J22" s="4" t="n">
        <f aca="false">I22*Supuestos!$D$25*Supuestos!D$7</f>
        <v>1512000</v>
      </c>
      <c r="K22" s="19" t="n">
        <f aca="false">IFERROR((J22-I22)/I22,"-")</f>
        <v>2.78</v>
      </c>
      <c r="L22" s="4" t="n">
        <f aca="false">Supuestos!$C$25*Supuestos!$H$25/Supuestos!$Q$25</f>
        <v>400000</v>
      </c>
      <c r="M22" s="4" t="n">
        <f aca="false">L22*Supuestos!$D$25*Supuestos!E$7</f>
        <v>1428000</v>
      </c>
      <c r="N22" s="19" t="n">
        <f aca="false">IFERROR((M22-L22)/L22,"-")</f>
        <v>2.57</v>
      </c>
      <c r="O22" s="4" t="n">
        <f aca="false">Supuestos!$C$25*Supuestos!$I$25/Supuestos!$Q$25</f>
        <v>400000</v>
      </c>
      <c r="P22" s="4" t="n">
        <f aca="false">O22*Supuestos!$D$25*Supuestos!F$7</f>
        <v>1764000</v>
      </c>
      <c r="Q22" s="19" t="n">
        <f aca="false">IFERROR((P22-O22)/O22,"-")</f>
        <v>3.41</v>
      </c>
      <c r="R22" s="4" t="n">
        <f aca="false">Supuestos!$C$25*Supuestos!$J$25/Supuestos!$Q$25</f>
        <v>400000</v>
      </c>
      <c r="S22" s="4" t="n">
        <f aca="false">R22*Supuestos!$D$25*Supuestos!G$7</f>
        <v>1596000</v>
      </c>
      <c r="T22" s="19" t="n">
        <f aca="false">IFERROR((S22-R22)/R22,"-")</f>
        <v>2.99</v>
      </c>
      <c r="U22" s="4" t="n">
        <f aca="false">Supuestos!$C$25*Supuestos!$K$25/Supuestos!$Q$25</f>
        <v>400000</v>
      </c>
      <c r="V22" s="4" t="n">
        <f aca="false">U22*Supuestos!$D$25*Supuestos!H$7</f>
        <v>1680000</v>
      </c>
      <c r="W22" s="19" t="n">
        <f aca="false">IFERROR((V22-U22)/U22,"-")</f>
        <v>3.2</v>
      </c>
      <c r="X22" s="4" t="n">
        <f aca="false">Supuestos!$C$25*Supuestos!$L$25/Supuestos!$Q$25</f>
        <v>400000</v>
      </c>
      <c r="Y22" s="4" t="n">
        <f aca="false">X22*Supuestos!$D$25*Supuestos!I$7</f>
        <v>1764000</v>
      </c>
      <c r="Z22" s="19" t="n">
        <f aca="false">IFERROR((Y22-X22)/X22,"-")</f>
        <v>3.41</v>
      </c>
      <c r="AA22" s="4" t="n">
        <f aca="false">Supuestos!$C$25*Supuestos!$M$25/Supuestos!$Q$25</f>
        <v>400000</v>
      </c>
      <c r="AB22" s="4" t="n">
        <f aca="false">AA22*Supuestos!$D$25*Supuestos!J$7</f>
        <v>1848000</v>
      </c>
      <c r="AC22" s="19" t="n">
        <f aca="false">IFERROR((AB22-AA22)/AA22,"-")</f>
        <v>3.62</v>
      </c>
      <c r="AD22" s="4" t="n">
        <f aca="false">Supuestos!$C$25*Supuestos!$N$25/Supuestos!$Q$25</f>
        <v>400000</v>
      </c>
      <c r="AE22" s="4" t="n">
        <f aca="false">AD22*Supuestos!$D$25*Supuestos!K$7</f>
        <v>1848000</v>
      </c>
      <c r="AF22" s="19" t="n">
        <f aca="false">IFERROR((AE22-AD22)/AD22,"-")</f>
        <v>3.62</v>
      </c>
      <c r="AG22" s="4" t="n">
        <f aca="false">Supuestos!$C$25*Supuestos!$O$25/Supuestos!$Q$25</f>
        <v>400000</v>
      </c>
      <c r="AH22" s="4" t="n">
        <f aca="false">AG22*Supuestos!$D$25*Supuestos!L$7</f>
        <v>1932000</v>
      </c>
      <c r="AI22" s="19" t="n">
        <f aca="false">IFERROR((AH22-AG22)/AG22,"-")</f>
        <v>3.83</v>
      </c>
      <c r="AJ22" s="4" t="n">
        <f aca="false">Supuestos!$C$25*Supuestos!$P$25/Supuestos!$Q$25</f>
        <v>400000</v>
      </c>
      <c r="AK22" s="4" t="n">
        <f aca="false">AJ22*Supuestos!$D$25*Supuestos!M$7</f>
        <v>2184000</v>
      </c>
      <c r="AL22" s="19" t="n">
        <f aca="false">IFERROR((AK22-AJ22)/AJ22,"-")</f>
        <v>4.46</v>
      </c>
      <c r="AM22" s="20" t="n">
        <f aca="false">C22+F22+I22+L22+O22+R22+U22+X22+AA22+AD22+AG22+AJ22</f>
        <v>4000000</v>
      </c>
      <c r="AN22" s="20" t="n">
        <f aca="false">D22+G22+J22+M22+P22+S22+V22+Y22+AB22+AE22+AH22+AK22</f>
        <v>17556000</v>
      </c>
      <c r="AO22" s="21" t="n">
        <f aca="false">IFERROR((AN22-AM22)/AM22,"-")</f>
        <v>3.389</v>
      </c>
    </row>
    <row r="23" customFormat="false" ht="15" hidden="false" customHeight="false" outlineLevel="0" collapsed="false">
      <c r="A23" s="3" t="s">
        <v>9</v>
      </c>
      <c r="B23" s="3" t="s">
        <v>53</v>
      </c>
      <c r="C23" s="4" t="n">
        <f aca="false">Supuestos!$C$26*Supuestos!$E$26/Supuestos!$Q$26</f>
        <v>0</v>
      </c>
      <c r="D23" s="4" t="n">
        <f aca="false">C23*Supuestos!$D$26*Supuestos!B$7</f>
        <v>0</v>
      </c>
      <c r="E23" s="19" t="str">
        <f aca="false">IFERROR((D23-C23)/C23,"-")</f>
        <v>-</v>
      </c>
      <c r="F23" s="4" t="n">
        <f aca="false">Supuestos!$C$26*Supuestos!$F$26/Supuestos!$Q$26</f>
        <v>0</v>
      </c>
      <c r="G23" s="4" t="n">
        <f aca="false">F23*Supuestos!$D$26*Supuestos!C$7</f>
        <v>0</v>
      </c>
      <c r="H23" s="19" t="str">
        <f aca="false">IFERROR((G23-F23)/F23,"-")</f>
        <v>-</v>
      </c>
      <c r="I23" s="4" t="n">
        <f aca="false">Supuestos!$C$26*Supuestos!$G$26/Supuestos!$Q$26</f>
        <v>0</v>
      </c>
      <c r="J23" s="4" t="n">
        <f aca="false">I23*Supuestos!$D$26*Supuestos!D$7</f>
        <v>0</v>
      </c>
      <c r="K23" s="19" t="str">
        <f aca="false">IFERROR((J23-I23)/I23,"-")</f>
        <v>-</v>
      </c>
      <c r="L23" s="4" t="n">
        <f aca="false">Supuestos!$C$26*Supuestos!$H$26/Supuestos!$Q$26</f>
        <v>500000</v>
      </c>
      <c r="M23" s="4" t="n">
        <f aca="false">L23*Supuestos!$D$26*Supuestos!E$7</f>
        <v>1912500</v>
      </c>
      <c r="N23" s="19" t="n">
        <f aca="false">IFERROR((M23-L23)/L23,"-")</f>
        <v>2.825</v>
      </c>
      <c r="O23" s="4" t="n">
        <f aca="false">Supuestos!$C$26*Supuestos!$I$26/Supuestos!$Q$26</f>
        <v>500000</v>
      </c>
      <c r="P23" s="4" t="n">
        <f aca="false">O23*Supuestos!$D$26*Supuestos!F$7</f>
        <v>2362500</v>
      </c>
      <c r="Q23" s="19" t="n">
        <f aca="false">IFERROR((P23-O23)/O23,"-")</f>
        <v>3.725</v>
      </c>
      <c r="R23" s="4" t="n">
        <f aca="false">Supuestos!$C$26*Supuestos!$J$26/Supuestos!$Q$26</f>
        <v>500000</v>
      </c>
      <c r="S23" s="4" t="n">
        <f aca="false">R23*Supuestos!$D$26*Supuestos!G$7</f>
        <v>2137500</v>
      </c>
      <c r="T23" s="19" t="n">
        <f aca="false">IFERROR((S23-R23)/R23,"-")</f>
        <v>3.275</v>
      </c>
      <c r="U23" s="4" t="n">
        <f aca="false">Supuestos!$C$26*Supuestos!$K$26/Supuestos!$Q$26</f>
        <v>500000</v>
      </c>
      <c r="V23" s="4" t="n">
        <f aca="false">U23*Supuestos!$D$26*Supuestos!H$7</f>
        <v>2250000</v>
      </c>
      <c r="W23" s="19" t="n">
        <f aca="false">IFERROR((V23-U23)/U23,"-")</f>
        <v>3.5</v>
      </c>
      <c r="X23" s="4" t="n">
        <f aca="false">Supuestos!$C$26*Supuestos!$L$26/Supuestos!$Q$26</f>
        <v>0</v>
      </c>
      <c r="Y23" s="4" t="n">
        <f aca="false">X23*Supuestos!$D$26*Supuestos!I$7</f>
        <v>0</v>
      </c>
      <c r="Z23" s="19" t="str">
        <f aca="false">IFERROR((Y23-X23)/X23,"-")</f>
        <v>-</v>
      </c>
      <c r="AA23" s="4" t="n">
        <f aca="false">Supuestos!$C$26*Supuestos!$M$26/Supuestos!$Q$26</f>
        <v>0</v>
      </c>
      <c r="AB23" s="4" t="n">
        <f aca="false">AA23*Supuestos!$D$26*Supuestos!J$7</f>
        <v>0</v>
      </c>
      <c r="AC23" s="19" t="str">
        <f aca="false">IFERROR((AB23-AA23)/AA23,"-")</f>
        <v>-</v>
      </c>
      <c r="AD23" s="4" t="n">
        <f aca="false">Supuestos!$C$26*Supuestos!$N$26/Supuestos!$Q$26</f>
        <v>0</v>
      </c>
      <c r="AE23" s="4" t="n">
        <f aca="false">AD23*Supuestos!$D$26*Supuestos!K$7</f>
        <v>0</v>
      </c>
      <c r="AF23" s="19" t="str">
        <f aca="false">IFERROR((AE23-AD23)/AD23,"-")</f>
        <v>-</v>
      </c>
      <c r="AG23" s="4" t="n">
        <f aca="false">Supuestos!$C$26*Supuestos!$O$26/Supuestos!$Q$26</f>
        <v>0</v>
      </c>
      <c r="AH23" s="4" t="n">
        <f aca="false">AG23*Supuestos!$D$26*Supuestos!L$7</f>
        <v>0</v>
      </c>
      <c r="AI23" s="19" t="str">
        <f aca="false">IFERROR((AH23-AG23)/AG23,"-")</f>
        <v>-</v>
      </c>
      <c r="AJ23" s="4" t="n">
        <f aca="false">Supuestos!$C$26*Supuestos!$P$26/Supuestos!$Q$26</f>
        <v>0</v>
      </c>
      <c r="AK23" s="4" t="n">
        <f aca="false">AJ23*Supuestos!$D$26*Supuestos!M$7</f>
        <v>0</v>
      </c>
      <c r="AL23" s="19" t="str">
        <f aca="false">IFERROR((AK23-AJ23)/AJ23,"-")</f>
        <v>-</v>
      </c>
      <c r="AM23" s="20" t="n">
        <f aca="false">C23+F23+I23+L23+O23+R23+U23+X23+AA23+AD23+AG23+AJ23</f>
        <v>2000000</v>
      </c>
      <c r="AN23" s="20" t="n">
        <f aca="false">D23+G23+J23+M23+P23+S23+V23+Y23+AB23+AE23+AH23+AK23</f>
        <v>8662500</v>
      </c>
      <c r="AO23" s="21" t="n">
        <f aca="false">IFERROR((AN23-AM23)/AM23,"-")</f>
        <v>3.33125</v>
      </c>
    </row>
    <row r="24" customFormat="false" ht="15" hidden="false" customHeight="false" outlineLevel="0" collapsed="false">
      <c r="A24" s="3" t="s">
        <v>9</v>
      </c>
      <c r="B24" s="3" t="s">
        <v>54</v>
      </c>
      <c r="C24" s="4" t="n">
        <f aca="false">Supuestos!$C$27*Supuestos!$E$27/Supuestos!$Q$27</f>
        <v>0</v>
      </c>
      <c r="D24" s="4" t="n">
        <f aca="false">C24*Supuestos!$D$27*Supuestos!B$7</f>
        <v>0</v>
      </c>
      <c r="E24" s="19" t="str">
        <f aca="false">IFERROR((D24-C24)/C24,"-")</f>
        <v>-</v>
      </c>
      <c r="F24" s="4" t="n">
        <f aca="false">Supuestos!$C$27*Supuestos!$F$27/Supuestos!$Q$27</f>
        <v>0</v>
      </c>
      <c r="G24" s="4" t="n">
        <f aca="false">F24*Supuestos!$D$27*Supuestos!C$7</f>
        <v>0</v>
      </c>
      <c r="H24" s="19" t="str">
        <f aca="false">IFERROR((G24-F24)/F24,"-")</f>
        <v>-</v>
      </c>
      <c r="I24" s="4" t="n">
        <f aca="false">Supuestos!$C$27*Supuestos!$G$27/Supuestos!$Q$27</f>
        <v>0</v>
      </c>
      <c r="J24" s="4" t="n">
        <f aca="false">I24*Supuestos!$D$27*Supuestos!D$7</f>
        <v>0</v>
      </c>
      <c r="K24" s="19" t="str">
        <f aca="false">IFERROR((J24-I24)/I24,"-")</f>
        <v>-</v>
      </c>
      <c r="L24" s="4" t="n">
        <f aca="false">Supuestos!$C$27*Supuestos!$H$27/Supuestos!$Q$27</f>
        <v>0</v>
      </c>
      <c r="M24" s="4" t="n">
        <f aca="false">L24*Supuestos!$D$27*Supuestos!E$7</f>
        <v>0</v>
      </c>
      <c r="N24" s="19" t="str">
        <f aca="false">IFERROR((M24-L24)/L24,"-")</f>
        <v>-</v>
      </c>
      <c r="O24" s="4" t="n">
        <f aca="false">Supuestos!$C$27*Supuestos!$I$27/Supuestos!$Q$27</f>
        <v>0</v>
      </c>
      <c r="P24" s="4" t="n">
        <f aca="false">O24*Supuestos!$D$27*Supuestos!F$7</f>
        <v>0</v>
      </c>
      <c r="Q24" s="19" t="str">
        <f aca="false">IFERROR((P24-O24)/O24,"-")</f>
        <v>-</v>
      </c>
      <c r="R24" s="4" t="n">
        <f aca="false">Supuestos!$C$27*Supuestos!$J$27/Supuestos!$Q$27</f>
        <v>0</v>
      </c>
      <c r="S24" s="4" t="n">
        <f aca="false">R24*Supuestos!$D$27*Supuestos!G$7</f>
        <v>0</v>
      </c>
      <c r="T24" s="19" t="str">
        <f aca="false">IFERROR((S24-R24)/R24,"-")</f>
        <v>-</v>
      </c>
      <c r="U24" s="4" t="n">
        <f aca="false">Supuestos!$C$27*Supuestos!$K$27/Supuestos!$Q$27</f>
        <v>0</v>
      </c>
      <c r="V24" s="4" t="n">
        <f aca="false">U24*Supuestos!$D$27*Supuestos!H$7</f>
        <v>0</v>
      </c>
      <c r="W24" s="19" t="str">
        <f aca="false">IFERROR((V24-U24)/U24,"-")</f>
        <v>-</v>
      </c>
      <c r="X24" s="4" t="n">
        <f aca="false">Supuestos!$C$27*Supuestos!$L$27/Supuestos!$Q$27</f>
        <v>0</v>
      </c>
      <c r="Y24" s="4" t="n">
        <f aca="false">X24*Supuestos!$D$27*Supuestos!I$7</f>
        <v>0</v>
      </c>
      <c r="Z24" s="19" t="str">
        <f aca="false">IFERROR((Y24-X24)/X24,"-")</f>
        <v>-</v>
      </c>
      <c r="AA24" s="4" t="n">
        <f aca="false">Supuestos!$C$27*Supuestos!$M$27/Supuestos!$Q$27</f>
        <v>0</v>
      </c>
      <c r="AB24" s="4" t="n">
        <f aca="false">AA24*Supuestos!$D$27*Supuestos!J$7</f>
        <v>0</v>
      </c>
      <c r="AC24" s="19" t="str">
        <f aca="false">IFERROR((AB24-AA24)/AA24,"-")</f>
        <v>-</v>
      </c>
      <c r="AD24" s="4" t="n">
        <f aca="false">Supuestos!$C$27*Supuestos!$N$27/Supuestos!$Q$27</f>
        <v>900000</v>
      </c>
      <c r="AE24" s="4" t="n">
        <f aca="false">AD24*Supuestos!$D$27*Supuestos!K$7</f>
        <v>2574000</v>
      </c>
      <c r="AF24" s="19" t="n">
        <f aca="false">IFERROR((AE24-AD24)/AD24,"-")</f>
        <v>1.86</v>
      </c>
      <c r="AG24" s="4" t="n">
        <f aca="false">Supuestos!$C$27*Supuestos!$O$27/Supuestos!$Q$27</f>
        <v>900000</v>
      </c>
      <c r="AH24" s="4" t="n">
        <f aca="false">AG24*Supuestos!$D$27*Supuestos!L$7</f>
        <v>2691000</v>
      </c>
      <c r="AI24" s="19" t="n">
        <f aca="false">IFERROR((AH24-AG24)/AG24,"-")</f>
        <v>1.99</v>
      </c>
      <c r="AJ24" s="4" t="n">
        <f aca="false">Supuestos!$C$27*Supuestos!$P$27/Supuestos!$Q$27</f>
        <v>0</v>
      </c>
      <c r="AK24" s="4" t="n">
        <f aca="false">AJ24*Supuestos!$D$27*Supuestos!M$7</f>
        <v>0</v>
      </c>
      <c r="AL24" s="19" t="str">
        <f aca="false">IFERROR((AK24-AJ24)/AJ24,"-")</f>
        <v>-</v>
      </c>
      <c r="AM24" s="20" t="n">
        <f aca="false">C24+F24+I24+L24+O24+R24+U24+X24+AA24+AD24+AG24+AJ24</f>
        <v>1800000</v>
      </c>
      <c r="AN24" s="20" t="n">
        <f aca="false">D24+G24+J24+M24+P24+S24+V24+Y24+AB24+AE24+AH24+AK24</f>
        <v>5265000</v>
      </c>
      <c r="AO24" s="21" t="n">
        <f aca="false">IFERROR((AN24-AM24)/AM24,"-")</f>
        <v>1.925</v>
      </c>
    </row>
    <row r="25" customFormat="false" ht="15.75" hidden="false" customHeight="true" outlineLevel="0" collapsed="false">
      <c r="A25" s="8" t="s">
        <v>55</v>
      </c>
      <c r="B25" s="8"/>
      <c r="C25" s="9" t="n">
        <f aca="false">C26+C27+C28+C29+C30+C31+C32+C33+C34</f>
        <v>0</v>
      </c>
      <c r="D25" s="9" t="n">
        <f aca="false">D26+D27+D28+D29+D30+D31+D32+D33+D34</f>
        <v>0</v>
      </c>
      <c r="E25" s="18" t="str">
        <f aca="false">IFERROR((D25-C25)/C25,"-")</f>
        <v>-</v>
      </c>
      <c r="F25" s="9" t="n">
        <f aca="false">F26+F27+F28+F29+F30+F31+F32+F33+F34</f>
        <v>2500000</v>
      </c>
      <c r="G25" s="9" t="n">
        <f aca="false">G26+G27+G28+G29+G30+G31+G32+G33+G34</f>
        <v>11500000</v>
      </c>
      <c r="H25" s="18" t="n">
        <f aca="false">IFERROR((G25-F25)/F25,"-")</f>
        <v>3.6</v>
      </c>
      <c r="I25" s="9" t="n">
        <f aca="false">I26+I27+I28+I29+I30+I31+I32+I33+I34</f>
        <v>1500000</v>
      </c>
      <c r="J25" s="9" t="n">
        <f aca="false">J26+J27+J28+J29+J30+J31+J32+J33+J34</f>
        <v>4050000</v>
      </c>
      <c r="K25" s="18" t="n">
        <f aca="false">IFERROR((J25-I25)/I25,"-")</f>
        <v>1.7</v>
      </c>
      <c r="L25" s="9" t="n">
        <f aca="false">L26+L27+L28+L29+L30+L31+L32+L33+L34</f>
        <v>0</v>
      </c>
      <c r="M25" s="9" t="n">
        <f aca="false">M26+M27+M28+M29+M30+M31+M32+M33+M34</f>
        <v>0</v>
      </c>
      <c r="N25" s="18" t="str">
        <f aca="false">IFERROR((M25-L25)/L25,"-")</f>
        <v>-</v>
      </c>
      <c r="O25" s="9" t="n">
        <f aca="false">O26+O27+O28+O29+O30+O31+O32+O33+O34</f>
        <v>2500000</v>
      </c>
      <c r="P25" s="9" t="n">
        <f aca="false">P26+P27+P28+P29+P30+P31+P32+P33+P34</f>
        <v>9975000</v>
      </c>
      <c r="Q25" s="18" t="n">
        <f aca="false">IFERROR((P25-O25)/O25,"-")</f>
        <v>2.99</v>
      </c>
      <c r="R25" s="9" t="n">
        <f aca="false">R26+R27+R28+R29+R30+R31+R32+R33+R34</f>
        <v>2000000</v>
      </c>
      <c r="S25" s="9" t="n">
        <f aca="false">S26+S27+S28+S29+S30+S31+S32+S33+S34</f>
        <v>6840000</v>
      </c>
      <c r="T25" s="18" t="n">
        <f aca="false">IFERROR((S25-R25)/R25,"-")</f>
        <v>2.42</v>
      </c>
      <c r="U25" s="9" t="n">
        <f aca="false">U26+U27+U28+U29+U30+U31+U32+U33+U34</f>
        <v>2000000</v>
      </c>
      <c r="V25" s="9" t="n">
        <f aca="false">V26+V27+V28+V29+V30+V31+V32+V33+V34</f>
        <v>7000000</v>
      </c>
      <c r="W25" s="18" t="n">
        <f aca="false">IFERROR((V25-U25)/U25,"-")</f>
        <v>2.5</v>
      </c>
      <c r="X25" s="9" t="n">
        <f aca="false">X26+X27+X28+X29+X30+X31+X32+X33+X34</f>
        <v>0</v>
      </c>
      <c r="Y25" s="9" t="n">
        <f aca="false">Y26+Y27+Y28+Y29+Y30+Y31+Y32+Y33+Y34</f>
        <v>0</v>
      </c>
      <c r="Z25" s="18" t="str">
        <f aca="false">IFERROR((Y25-X25)/X25,"-")</f>
        <v>-</v>
      </c>
      <c r="AA25" s="9" t="n">
        <f aca="false">AA26+AA27+AA28+AA29+AA30+AA31+AA32+AA33+AA34</f>
        <v>2200000</v>
      </c>
      <c r="AB25" s="9" t="n">
        <f aca="false">AB26+AB27+AB28+AB29+AB30+AB31+AB32+AB33+AB34</f>
        <v>9680000</v>
      </c>
      <c r="AC25" s="18" t="n">
        <f aca="false">IFERROR((AB25-AA25)/AA25,"-")</f>
        <v>3.4</v>
      </c>
      <c r="AD25" s="9" t="n">
        <f aca="false">AD26+AD27+AD28+AD29+AD30+AD31+AD32+AD33+AD34</f>
        <v>2500000</v>
      </c>
      <c r="AE25" s="9" t="n">
        <f aca="false">AE26+AE27+AE28+AE29+AE30+AE31+AE32+AE33+AE34</f>
        <v>8800000</v>
      </c>
      <c r="AF25" s="18" t="n">
        <f aca="false">IFERROR((AE25-AD25)/AD25,"-")</f>
        <v>2.52</v>
      </c>
      <c r="AG25" s="9" t="n">
        <f aca="false">AG26+AG27+AG28+AG29+AG30+AG31+AG32+AG33+AG34</f>
        <v>2000000</v>
      </c>
      <c r="AH25" s="9" t="n">
        <f aca="false">AH26+AH27+AH28+AH29+AH30+AH31+AH32+AH33+AH34</f>
        <v>10350000</v>
      </c>
      <c r="AI25" s="18" t="n">
        <f aca="false">IFERROR((AH25-AG25)/AG25,"-")</f>
        <v>4.175</v>
      </c>
      <c r="AJ25" s="9" t="n">
        <f aca="false">AJ26+AJ27+AJ28+AJ29+AJ30+AJ31+AJ32+AJ33+AJ34</f>
        <v>3500000</v>
      </c>
      <c r="AK25" s="9" t="n">
        <f aca="false">AK26+AK27+AK28+AK29+AK30+AK31+AK32+AK33+AK34</f>
        <v>22750000</v>
      </c>
      <c r="AL25" s="18" t="n">
        <f aca="false">IFERROR((AK25-AJ25)/AJ25,"-")</f>
        <v>5.5</v>
      </c>
      <c r="AM25" s="9" t="n">
        <f aca="false">C25+F25+I25+L25+O25+R25+U25+X25+AA25+AD25+AG25+AJ25</f>
        <v>20700000</v>
      </c>
      <c r="AN25" s="9" t="n">
        <f aca="false">D25+G25+J25+M25+P25+S25+V25+Y25+AB25+AE25+AH25+AK25</f>
        <v>90945000</v>
      </c>
      <c r="AO25" s="18" t="n">
        <f aca="false">IFERROR((AN25-AM25)/AM25,"-")</f>
        <v>3.39347826086957</v>
      </c>
    </row>
    <row r="26" customFormat="false" ht="15" hidden="false" customHeight="false" outlineLevel="0" collapsed="false">
      <c r="A26" s="3" t="s">
        <v>10</v>
      </c>
      <c r="B26" s="3" t="s">
        <v>56</v>
      </c>
      <c r="C26" s="4" t="n">
        <f aca="false">Supuestos!$C$28*Supuestos!$E$28/Supuestos!$Q$28</f>
        <v>0</v>
      </c>
      <c r="D26" s="4" t="n">
        <f aca="false">C26*Supuestos!$D$28*Supuestos!B$7</f>
        <v>0</v>
      </c>
      <c r="E26" s="19" t="str">
        <f aca="false">IFERROR((D26-C26)/C26,"-")</f>
        <v>-</v>
      </c>
      <c r="F26" s="4" t="n">
        <f aca="false">Supuestos!$C$28*Supuestos!$F$28/Supuestos!$Q$28</f>
        <v>2500000</v>
      </c>
      <c r="G26" s="4" t="n">
        <f aca="false">F26*Supuestos!$D$28*Supuestos!C$7</f>
        <v>11500000</v>
      </c>
      <c r="H26" s="19" t="n">
        <f aca="false">IFERROR((G26-F26)/F26,"-")</f>
        <v>3.6</v>
      </c>
      <c r="I26" s="4" t="n">
        <f aca="false">Supuestos!$C$28*Supuestos!$G$28/Supuestos!$Q$28</f>
        <v>0</v>
      </c>
      <c r="J26" s="4" t="n">
        <f aca="false">I26*Supuestos!$D$28*Supuestos!D$7</f>
        <v>0</v>
      </c>
      <c r="K26" s="19" t="str">
        <f aca="false">IFERROR((J26-I26)/I26,"-")</f>
        <v>-</v>
      </c>
      <c r="L26" s="4" t="n">
        <f aca="false">Supuestos!$C$28*Supuestos!$H$28/Supuestos!$Q$28</f>
        <v>0</v>
      </c>
      <c r="M26" s="4" t="n">
        <f aca="false">L26*Supuestos!$D$28*Supuestos!E$7</f>
        <v>0</v>
      </c>
      <c r="N26" s="19" t="str">
        <f aca="false">IFERROR((M26-L26)/L26,"-")</f>
        <v>-</v>
      </c>
      <c r="O26" s="4" t="n">
        <f aca="false">Supuestos!$C$28*Supuestos!$I$28/Supuestos!$Q$28</f>
        <v>0</v>
      </c>
      <c r="P26" s="4" t="n">
        <f aca="false">O26*Supuestos!$D$28*Supuestos!F$7</f>
        <v>0</v>
      </c>
      <c r="Q26" s="19" t="str">
        <f aca="false">IFERROR((P26-O26)/O26,"-")</f>
        <v>-</v>
      </c>
      <c r="R26" s="4" t="n">
        <f aca="false">Supuestos!$C$28*Supuestos!$J$28/Supuestos!$Q$28</f>
        <v>0</v>
      </c>
      <c r="S26" s="4" t="n">
        <f aca="false">R26*Supuestos!$D$28*Supuestos!G$7</f>
        <v>0</v>
      </c>
      <c r="T26" s="19" t="str">
        <f aca="false">IFERROR((S26-R26)/R26,"-")</f>
        <v>-</v>
      </c>
      <c r="U26" s="4" t="n">
        <f aca="false">Supuestos!$C$28*Supuestos!$K$28/Supuestos!$Q$28</f>
        <v>0</v>
      </c>
      <c r="V26" s="4" t="n">
        <f aca="false">U26*Supuestos!$D$28*Supuestos!H$7</f>
        <v>0</v>
      </c>
      <c r="W26" s="19" t="str">
        <f aca="false">IFERROR((V26-U26)/U26,"-")</f>
        <v>-</v>
      </c>
      <c r="X26" s="4" t="n">
        <f aca="false">Supuestos!$C$28*Supuestos!$L$28/Supuestos!$Q$28</f>
        <v>0</v>
      </c>
      <c r="Y26" s="4" t="n">
        <f aca="false">X26*Supuestos!$D$28*Supuestos!I$7</f>
        <v>0</v>
      </c>
      <c r="Z26" s="19" t="str">
        <f aca="false">IFERROR((Y26-X26)/X26,"-")</f>
        <v>-</v>
      </c>
      <c r="AA26" s="4" t="n">
        <f aca="false">Supuestos!$C$28*Supuestos!$M$28/Supuestos!$Q$28</f>
        <v>0</v>
      </c>
      <c r="AB26" s="4" t="n">
        <f aca="false">AA26*Supuestos!$D$28*Supuestos!J$7</f>
        <v>0</v>
      </c>
      <c r="AC26" s="19" t="str">
        <f aca="false">IFERROR((AB26-AA26)/AA26,"-")</f>
        <v>-</v>
      </c>
      <c r="AD26" s="4" t="n">
        <f aca="false">Supuestos!$C$28*Supuestos!$N$28/Supuestos!$Q$28</f>
        <v>0</v>
      </c>
      <c r="AE26" s="4" t="n">
        <f aca="false">AD26*Supuestos!$D$28*Supuestos!K$7</f>
        <v>0</v>
      </c>
      <c r="AF26" s="19" t="str">
        <f aca="false">IFERROR((AE26-AD26)/AD26,"-")</f>
        <v>-</v>
      </c>
      <c r="AG26" s="4" t="n">
        <f aca="false">Supuestos!$C$28*Supuestos!$O$28/Supuestos!$Q$28</f>
        <v>0</v>
      </c>
      <c r="AH26" s="4" t="n">
        <f aca="false">AG26*Supuestos!$D$28*Supuestos!L$7</f>
        <v>0</v>
      </c>
      <c r="AI26" s="19" t="str">
        <f aca="false">IFERROR((AH26-AG26)/AG26,"-")</f>
        <v>-</v>
      </c>
      <c r="AJ26" s="4" t="n">
        <f aca="false">Supuestos!$C$28*Supuestos!$P$28/Supuestos!$Q$28</f>
        <v>0</v>
      </c>
      <c r="AK26" s="4" t="n">
        <f aca="false">AJ26*Supuestos!$D$28*Supuestos!M$7</f>
        <v>0</v>
      </c>
      <c r="AL26" s="19" t="str">
        <f aca="false">IFERROR((AK26-AJ26)/AJ26,"-")</f>
        <v>-</v>
      </c>
      <c r="AM26" s="20" t="n">
        <f aca="false">C26+F26+I26+L26+O26+R26+U26+X26+AA26+AD26+AG26+AJ26</f>
        <v>2500000</v>
      </c>
      <c r="AN26" s="20" t="n">
        <f aca="false">D26+G26+J26+M26+P26+S26+V26+Y26+AB26+AE26+AH26+AK26</f>
        <v>11500000</v>
      </c>
      <c r="AO26" s="21" t="n">
        <f aca="false">IFERROR((AN26-AM26)/AM26,"-")</f>
        <v>3.6</v>
      </c>
    </row>
    <row r="27" customFormat="false" ht="15" hidden="false" customHeight="false" outlineLevel="0" collapsed="false">
      <c r="A27" s="3" t="s">
        <v>10</v>
      </c>
      <c r="B27" s="3" t="s">
        <v>57</v>
      </c>
      <c r="C27" s="4" t="n">
        <f aca="false">Supuestos!$C$29*Supuestos!$E$29/Supuestos!$Q$29</f>
        <v>0</v>
      </c>
      <c r="D27" s="4" t="n">
        <f aca="false">C27*Supuestos!$D$29*Supuestos!B$7</f>
        <v>0</v>
      </c>
      <c r="E27" s="19" t="str">
        <f aca="false">IFERROR((D27-C27)/C27,"-")</f>
        <v>-</v>
      </c>
      <c r="F27" s="4" t="n">
        <f aca="false">Supuestos!$C$29*Supuestos!$F$29/Supuestos!$Q$29</f>
        <v>0</v>
      </c>
      <c r="G27" s="4" t="n">
        <f aca="false">F27*Supuestos!$D$29*Supuestos!C$7</f>
        <v>0</v>
      </c>
      <c r="H27" s="19" t="str">
        <f aca="false">IFERROR((G27-F27)/F27,"-")</f>
        <v>-</v>
      </c>
      <c r="I27" s="4" t="n">
        <f aca="false">Supuestos!$C$29*Supuestos!$G$29/Supuestos!$Q$29</f>
        <v>1500000</v>
      </c>
      <c r="J27" s="4" t="n">
        <f aca="false">I27*Supuestos!$D$29*Supuestos!D$7</f>
        <v>4050000</v>
      </c>
      <c r="K27" s="19" t="n">
        <f aca="false">IFERROR((J27-I27)/I27,"-")</f>
        <v>1.7</v>
      </c>
      <c r="L27" s="4" t="n">
        <f aca="false">Supuestos!$C$29*Supuestos!$H$29/Supuestos!$Q$29</f>
        <v>0</v>
      </c>
      <c r="M27" s="4" t="n">
        <f aca="false">L27*Supuestos!$D$29*Supuestos!E$7</f>
        <v>0</v>
      </c>
      <c r="N27" s="19" t="str">
        <f aca="false">IFERROR((M27-L27)/L27,"-")</f>
        <v>-</v>
      </c>
      <c r="O27" s="4" t="n">
        <f aca="false">Supuestos!$C$29*Supuestos!$I$29/Supuestos!$Q$29</f>
        <v>0</v>
      </c>
      <c r="P27" s="4" t="n">
        <f aca="false">O27*Supuestos!$D$29*Supuestos!F$7</f>
        <v>0</v>
      </c>
      <c r="Q27" s="19" t="str">
        <f aca="false">IFERROR((P27-O27)/O27,"-")</f>
        <v>-</v>
      </c>
      <c r="R27" s="4" t="n">
        <f aca="false">Supuestos!$C$29*Supuestos!$J$29/Supuestos!$Q$29</f>
        <v>0</v>
      </c>
      <c r="S27" s="4" t="n">
        <f aca="false">R27*Supuestos!$D$29*Supuestos!G$7</f>
        <v>0</v>
      </c>
      <c r="T27" s="19" t="str">
        <f aca="false">IFERROR((S27-R27)/R27,"-")</f>
        <v>-</v>
      </c>
      <c r="U27" s="4" t="n">
        <f aca="false">Supuestos!$C$29*Supuestos!$K$29/Supuestos!$Q$29</f>
        <v>0</v>
      </c>
      <c r="V27" s="4" t="n">
        <f aca="false">U27*Supuestos!$D$29*Supuestos!H$7</f>
        <v>0</v>
      </c>
      <c r="W27" s="19" t="str">
        <f aca="false">IFERROR((V27-U27)/U27,"-")</f>
        <v>-</v>
      </c>
      <c r="X27" s="4" t="n">
        <f aca="false">Supuestos!$C$29*Supuestos!$L$29/Supuestos!$Q$29</f>
        <v>0</v>
      </c>
      <c r="Y27" s="4" t="n">
        <f aca="false">X27*Supuestos!$D$29*Supuestos!I$7</f>
        <v>0</v>
      </c>
      <c r="Z27" s="19" t="str">
        <f aca="false">IFERROR((Y27-X27)/X27,"-")</f>
        <v>-</v>
      </c>
      <c r="AA27" s="4" t="n">
        <f aca="false">Supuestos!$C$29*Supuestos!$M$29/Supuestos!$Q$29</f>
        <v>0</v>
      </c>
      <c r="AB27" s="4" t="n">
        <f aca="false">AA27*Supuestos!$D$29*Supuestos!J$7</f>
        <v>0</v>
      </c>
      <c r="AC27" s="19" t="str">
        <f aca="false">IFERROR((AB27-AA27)/AA27,"-")</f>
        <v>-</v>
      </c>
      <c r="AD27" s="4" t="n">
        <f aca="false">Supuestos!$C$29*Supuestos!$N$29/Supuestos!$Q$29</f>
        <v>0</v>
      </c>
      <c r="AE27" s="4" t="n">
        <f aca="false">AD27*Supuestos!$D$29*Supuestos!K$7</f>
        <v>0</v>
      </c>
      <c r="AF27" s="19" t="str">
        <f aca="false">IFERROR((AE27-AD27)/AD27,"-")</f>
        <v>-</v>
      </c>
      <c r="AG27" s="4" t="n">
        <f aca="false">Supuestos!$C$29*Supuestos!$O$29/Supuestos!$Q$29</f>
        <v>0</v>
      </c>
      <c r="AH27" s="4" t="n">
        <f aca="false">AG27*Supuestos!$D$29*Supuestos!L$7</f>
        <v>0</v>
      </c>
      <c r="AI27" s="19" t="str">
        <f aca="false">IFERROR((AH27-AG27)/AG27,"-")</f>
        <v>-</v>
      </c>
      <c r="AJ27" s="4" t="n">
        <f aca="false">Supuestos!$C$29*Supuestos!$P$29/Supuestos!$Q$29</f>
        <v>0</v>
      </c>
      <c r="AK27" s="4" t="n">
        <f aca="false">AJ27*Supuestos!$D$29*Supuestos!M$7</f>
        <v>0</v>
      </c>
      <c r="AL27" s="19" t="str">
        <f aca="false">IFERROR((AK27-AJ27)/AJ27,"-")</f>
        <v>-</v>
      </c>
      <c r="AM27" s="20" t="n">
        <f aca="false">C27+F27+I27+L27+O27+R27+U27+X27+AA27+AD27+AG27+AJ27</f>
        <v>1500000</v>
      </c>
      <c r="AN27" s="20" t="n">
        <f aca="false">D27+G27+J27+M27+P27+S27+V27+Y27+AB27+AE27+AH27+AK27</f>
        <v>4050000</v>
      </c>
      <c r="AO27" s="21" t="n">
        <f aca="false">IFERROR((AN27-AM27)/AM27,"-")</f>
        <v>1.7</v>
      </c>
    </row>
    <row r="28" customFormat="false" ht="15" hidden="false" customHeight="false" outlineLevel="0" collapsed="false">
      <c r="A28" s="3" t="s">
        <v>10</v>
      </c>
      <c r="B28" s="3" t="s">
        <v>58</v>
      </c>
      <c r="C28" s="4" t="n">
        <f aca="false">Supuestos!$C$30*Supuestos!$E$30/Supuestos!$Q$30</f>
        <v>0</v>
      </c>
      <c r="D28" s="4" t="n">
        <f aca="false">C28*Supuestos!$D$30*Supuestos!B$7</f>
        <v>0</v>
      </c>
      <c r="E28" s="19" t="str">
        <f aca="false">IFERROR((D28-C28)/C28,"-")</f>
        <v>-</v>
      </c>
      <c r="F28" s="4" t="n">
        <f aca="false">Supuestos!$C$30*Supuestos!$F$30/Supuestos!$Q$30</f>
        <v>0</v>
      </c>
      <c r="G28" s="4" t="n">
        <f aca="false">F28*Supuestos!$D$30*Supuestos!C$7</f>
        <v>0</v>
      </c>
      <c r="H28" s="19" t="str">
        <f aca="false">IFERROR((G28-F28)/F28,"-")</f>
        <v>-</v>
      </c>
      <c r="I28" s="4" t="n">
        <f aca="false">Supuestos!$C$30*Supuestos!$G$30/Supuestos!$Q$30</f>
        <v>0</v>
      </c>
      <c r="J28" s="4" t="n">
        <f aca="false">I28*Supuestos!$D$30*Supuestos!D$7</f>
        <v>0</v>
      </c>
      <c r="K28" s="19" t="str">
        <f aca="false">IFERROR((J28-I28)/I28,"-")</f>
        <v>-</v>
      </c>
      <c r="L28" s="4" t="n">
        <f aca="false">Supuestos!$C$30*Supuestos!$H$30/Supuestos!$Q$30</f>
        <v>0</v>
      </c>
      <c r="M28" s="4" t="n">
        <f aca="false">L28*Supuestos!$D$30*Supuestos!E$7</f>
        <v>0</v>
      </c>
      <c r="N28" s="19" t="str">
        <f aca="false">IFERROR((M28-L28)/L28,"-")</f>
        <v>-</v>
      </c>
      <c r="O28" s="4" t="n">
        <f aca="false">Supuestos!$C$30*Supuestos!$I$30/Supuestos!$Q$30</f>
        <v>2500000</v>
      </c>
      <c r="P28" s="4" t="n">
        <f aca="false">O28*Supuestos!$D$30*Supuestos!F$7</f>
        <v>9975000</v>
      </c>
      <c r="Q28" s="19" t="n">
        <f aca="false">IFERROR((P28-O28)/O28,"-")</f>
        <v>2.99</v>
      </c>
      <c r="R28" s="4" t="n">
        <f aca="false">Supuestos!$C$30*Supuestos!$J$30/Supuestos!$Q$30</f>
        <v>0</v>
      </c>
      <c r="S28" s="4" t="n">
        <f aca="false">R28*Supuestos!$D$30*Supuestos!G$7</f>
        <v>0</v>
      </c>
      <c r="T28" s="19" t="str">
        <f aca="false">IFERROR((S28-R28)/R28,"-")</f>
        <v>-</v>
      </c>
      <c r="U28" s="4" t="n">
        <f aca="false">Supuestos!$C$30*Supuestos!$K$30/Supuestos!$Q$30</f>
        <v>0</v>
      </c>
      <c r="V28" s="4" t="n">
        <f aca="false">U28*Supuestos!$D$30*Supuestos!H$7</f>
        <v>0</v>
      </c>
      <c r="W28" s="19" t="str">
        <f aca="false">IFERROR((V28-U28)/U28,"-")</f>
        <v>-</v>
      </c>
      <c r="X28" s="4" t="n">
        <f aca="false">Supuestos!$C$30*Supuestos!$L$30/Supuestos!$Q$30</f>
        <v>0</v>
      </c>
      <c r="Y28" s="4" t="n">
        <f aca="false">X28*Supuestos!$D$30*Supuestos!I$7</f>
        <v>0</v>
      </c>
      <c r="Z28" s="19" t="str">
        <f aca="false">IFERROR((Y28-X28)/X28,"-")</f>
        <v>-</v>
      </c>
      <c r="AA28" s="4" t="n">
        <f aca="false">Supuestos!$C$30*Supuestos!$M$30/Supuestos!$Q$30</f>
        <v>0</v>
      </c>
      <c r="AB28" s="4" t="n">
        <f aca="false">AA28*Supuestos!$D$30*Supuestos!J$7</f>
        <v>0</v>
      </c>
      <c r="AC28" s="19" t="str">
        <f aca="false">IFERROR((AB28-AA28)/AA28,"-")</f>
        <v>-</v>
      </c>
      <c r="AD28" s="4" t="n">
        <f aca="false">Supuestos!$C$30*Supuestos!$N$30/Supuestos!$Q$30</f>
        <v>0</v>
      </c>
      <c r="AE28" s="4" t="n">
        <f aca="false">AD28*Supuestos!$D$30*Supuestos!K$7</f>
        <v>0</v>
      </c>
      <c r="AF28" s="19" t="str">
        <f aca="false">IFERROR((AE28-AD28)/AD28,"-")</f>
        <v>-</v>
      </c>
      <c r="AG28" s="4" t="n">
        <f aca="false">Supuestos!$C$30*Supuestos!$O$30/Supuestos!$Q$30</f>
        <v>0</v>
      </c>
      <c r="AH28" s="4" t="n">
        <f aca="false">AG28*Supuestos!$D$30*Supuestos!L$7</f>
        <v>0</v>
      </c>
      <c r="AI28" s="19" t="str">
        <f aca="false">IFERROR((AH28-AG28)/AG28,"-")</f>
        <v>-</v>
      </c>
      <c r="AJ28" s="4" t="n">
        <f aca="false">Supuestos!$C$30*Supuestos!$P$30/Supuestos!$Q$30</f>
        <v>0</v>
      </c>
      <c r="AK28" s="4" t="n">
        <f aca="false">AJ28*Supuestos!$D$30*Supuestos!M$7</f>
        <v>0</v>
      </c>
      <c r="AL28" s="19" t="str">
        <f aca="false">IFERROR((AK28-AJ28)/AJ28,"-")</f>
        <v>-</v>
      </c>
      <c r="AM28" s="20" t="n">
        <f aca="false">C28+F28+I28+L28+O28+R28+U28+X28+AA28+AD28+AG28+AJ28</f>
        <v>2500000</v>
      </c>
      <c r="AN28" s="20" t="n">
        <f aca="false">D28+G28+J28+M28+P28+S28+V28+Y28+AB28+AE28+AH28+AK28</f>
        <v>9975000</v>
      </c>
      <c r="AO28" s="21" t="n">
        <f aca="false">IFERROR((AN28-AM28)/AM28,"-")</f>
        <v>2.99</v>
      </c>
    </row>
    <row r="29" customFormat="false" ht="15" hidden="false" customHeight="false" outlineLevel="0" collapsed="false">
      <c r="A29" s="3" t="s">
        <v>10</v>
      </c>
      <c r="B29" s="3" t="s">
        <v>59</v>
      </c>
      <c r="C29" s="4" t="n">
        <f aca="false">Supuestos!$C$31*Supuestos!$E$31/Supuestos!$Q$31</f>
        <v>0</v>
      </c>
      <c r="D29" s="4" t="n">
        <f aca="false">C29*Supuestos!$D$31*Supuestos!B$7</f>
        <v>0</v>
      </c>
      <c r="E29" s="19" t="str">
        <f aca="false">IFERROR((D29-C29)/C29,"-")</f>
        <v>-</v>
      </c>
      <c r="F29" s="4" t="n">
        <f aca="false">Supuestos!$C$31*Supuestos!$F$31/Supuestos!$Q$31</f>
        <v>0</v>
      </c>
      <c r="G29" s="4" t="n">
        <f aca="false">F29*Supuestos!$D$31*Supuestos!C$7</f>
        <v>0</v>
      </c>
      <c r="H29" s="19" t="str">
        <f aca="false">IFERROR((G29-F29)/F29,"-")</f>
        <v>-</v>
      </c>
      <c r="I29" s="4" t="n">
        <f aca="false">Supuestos!$C$31*Supuestos!$G$31/Supuestos!$Q$31</f>
        <v>0</v>
      </c>
      <c r="J29" s="4" t="n">
        <f aca="false">I29*Supuestos!$D$31*Supuestos!D$7</f>
        <v>0</v>
      </c>
      <c r="K29" s="19" t="str">
        <f aca="false">IFERROR((J29-I29)/I29,"-")</f>
        <v>-</v>
      </c>
      <c r="L29" s="4" t="n">
        <f aca="false">Supuestos!$C$31*Supuestos!$H$31/Supuestos!$Q$31</f>
        <v>0</v>
      </c>
      <c r="M29" s="4" t="n">
        <f aca="false">L29*Supuestos!$D$31*Supuestos!E$7</f>
        <v>0</v>
      </c>
      <c r="N29" s="19" t="str">
        <f aca="false">IFERROR((M29-L29)/L29,"-")</f>
        <v>-</v>
      </c>
      <c r="O29" s="4" t="n">
        <f aca="false">Supuestos!$C$31*Supuestos!$I$31/Supuestos!$Q$31</f>
        <v>0</v>
      </c>
      <c r="P29" s="4" t="n">
        <f aca="false">O29*Supuestos!$D$31*Supuestos!F$7</f>
        <v>0</v>
      </c>
      <c r="Q29" s="19" t="str">
        <f aca="false">IFERROR((P29-O29)/O29,"-")</f>
        <v>-</v>
      </c>
      <c r="R29" s="4" t="n">
        <f aca="false">Supuestos!$C$31*Supuestos!$J$31/Supuestos!$Q$31</f>
        <v>2000000</v>
      </c>
      <c r="S29" s="4" t="n">
        <f aca="false">R29*Supuestos!$D$31*Supuestos!G$7</f>
        <v>6840000</v>
      </c>
      <c r="T29" s="19" t="n">
        <f aca="false">IFERROR((S29-R29)/R29,"-")</f>
        <v>2.42</v>
      </c>
      <c r="U29" s="4" t="n">
        <f aca="false">Supuestos!$C$31*Supuestos!$K$31/Supuestos!$Q$31</f>
        <v>0</v>
      </c>
      <c r="V29" s="4" t="n">
        <f aca="false">U29*Supuestos!$D$31*Supuestos!H$7</f>
        <v>0</v>
      </c>
      <c r="W29" s="19" t="str">
        <f aca="false">IFERROR((V29-U29)/U29,"-")</f>
        <v>-</v>
      </c>
      <c r="X29" s="4" t="n">
        <f aca="false">Supuestos!$C$31*Supuestos!$L$31/Supuestos!$Q$31</f>
        <v>0</v>
      </c>
      <c r="Y29" s="4" t="n">
        <f aca="false">X29*Supuestos!$D$31*Supuestos!I$7</f>
        <v>0</v>
      </c>
      <c r="Z29" s="19" t="str">
        <f aca="false">IFERROR((Y29-X29)/X29,"-")</f>
        <v>-</v>
      </c>
      <c r="AA29" s="4" t="n">
        <f aca="false">Supuestos!$C$31*Supuestos!$M$31/Supuestos!$Q$31</f>
        <v>0</v>
      </c>
      <c r="AB29" s="4" t="n">
        <f aca="false">AA29*Supuestos!$D$31*Supuestos!J$7</f>
        <v>0</v>
      </c>
      <c r="AC29" s="19" t="str">
        <f aca="false">IFERROR((AB29-AA29)/AA29,"-")</f>
        <v>-</v>
      </c>
      <c r="AD29" s="4" t="n">
        <f aca="false">Supuestos!$C$31*Supuestos!$N$31/Supuestos!$Q$31</f>
        <v>0</v>
      </c>
      <c r="AE29" s="4" t="n">
        <f aca="false">AD29*Supuestos!$D$31*Supuestos!K$7</f>
        <v>0</v>
      </c>
      <c r="AF29" s="19" t="str">
        <f aca="false">IFERROR((AE29-AD29)/AD29,"-")</f>
        <v>-</v>
      </c>
      <c r="AG29" s="4" t="n">
        <f aca="false">Supuestos!$C$31*Supuestos!$O$31/Supuestos!$Q$31</f>
        <v>0</v>
      </c>
      <c r="AH29" s="4" t="n">
        <f aca="false">AG29*Supuestos!$D$31*Supuestos!L$7</f>
        <v>0</v>
      </c>
      <c r="AI29" s="19" t="str">
        <f aca="false">IFERROR((AH29-AG29)/AG29,"-")</f>
        <v>-</v>
      </c>
      <c r="AJ29" s="4" t="n">
        <f aca="false">Supuestos!$C$31*Supuestos!$P$31/Supuestos!$Q$31</f>
        <v>0</v>
      </c>
      <c r="AK29" s="4" t="n">
        <f aca="false">AJ29*Supuestos!$D$31*Supuestos!M$7</f>
        <v>0</v>
      </c>
      <c r="AL29" s="19" t="str">
        <f aca="false">IFERROR((AK29-AJ29)/AJ29,"-")</f>
        <v>-</v>
      </c>
      <c r="AM29" s="20" t="n">
        <f aca="false">C29+F29+I29+L29+O29+R29+U29+X29+AA29+AD29+AG29+AJ29</f>
        <v>2000000</v>
      </c>
      <c r="AN29" s="20" t="n">
        <f aca="false">D29+G29+J29+M29+P29+S29+V29+Y29+AB29+AE29+AH29+AK29</f>
        <v>6840000</v>
      </c>
      <c r="AO29" s="21" t="n">
        <f aca="false">IFERROR((AN29-AM29)/AM29,"-")</f>
        <v>2.42</v>
      </c>
    </row>
    <row r="30" customFormat="false" ht="15" hidden="false" customHeight="false" outlineLevel="0" collapsed="false">
      <c r="A30" s="3" t="s">
        <v>10</v>
      </c>
      <c r="B30" s="3" t="s">
        <v>60</v>
      </c>
      <c r="C30" s="4" t="n">
        <f aca="false">Supuestos!$C$32*Supuestos!$E$32/Supuestos!$Q$32</f>
        <v>0</v>
      </c>
      <c r="D30" s="4" t="n">
        <f aca="false">C30*Supuestos!$D$32*Supuestos!B$7</f>
        <v>0</v>
      </c>
      <c r="E30" s="19" t="str">
        <f aca="false">IFERROR((D30-C30)/C30,"-")</f>
        <v>-</v>
      </c>
      <c r="F30" s="4" t="n">
        <f aca="false">Supuestos!$C$32*Supuestos!$F$32/Supuestos!$Q$32</f>
        <v>0</v>
      </c>
      <c r="G30" s="4" t="n">
        <f aca="false">F30*Supuestos!$D$32*Supuestos!C$7</f>
        <v>0</v>
      </c>
      <c r="H30" s="19" t="str">
        <f aca="false">IFERROR((G30-F30)/F30,"-")</f>
        <v>-</v>
      </c>
      <c r="I30" s="4" t="n">
        <f aca="false">Supuestos!$C$32*Supuestos!$G$32/Supuestos!$Q$32</f>
        <v>0</v>
      </c>
      <c r="J30" s="4" t="n">
        <f aca="false">I30*Supuestos!$D$32*Supuestos!D$7</f>
        <v>0</v>
      </c>
      <c r="K30" s="19" t="str">
        <f aca="false">IFERROR((J30-I30)/I30,"-")</f>
        <v>-</v>
      </c>
      <c r="L30" s="4" t="n">
        <f aca="false">Supuestos!$C$32*Supuestos!$H$32/Supuestos!$Q$32</f>
        <v>0</v>
      </c>
      <c r="M30" s="4" t="n">
        <f aca="false">L30*Supuestos!$D$32*Supuestos!E$7</f>
        <v>0</v>
      </c>
      <c r="N30" s="19" t="str">
        <f aca="false">IFERROR((M30-L30)/L30,"-")</f>
        <v>-</v>
      </c>
      <c r="O30" s="4" t="n">
        <f aca="false">Supuestos!$C$32*Supuestos!$I$32/Supuestos!$Q$32</f>
        <v>0</v>
      </c>
      <c r="P30" s="4" t="n">
        <f aca="false">O30*Supuestos!$D$32*Supuestos!F$7</f>
        <v>0</v>
      </c>
      <c r="Q30" s="19" t="str">
        <f aca="false">IFERROR((P30-O30)/O30,"-")</f>
        <v>-</v>
      </c>
      <c r="R30" s="4" t="n">
        <f aca="false">Supuestos!$C$32*Supuestos!$J$32/Supuestos!$Q$32</f>
        <v>0</v>
      </c>
      <c r="S30" s="4" t="n">
        <f aca="false">R30*Supuestos!$D$32*Supuestos!G$7</f>
        <v>0</v>
      </c>
      <c r="T30" s="19" t="str">
        <f aca="false">IFERROR((S30-R30)/R30,"-")</f>
        <v>-</v>
      </c>
      <c r="U30" s="4" t="n">
        <f aca="false">Supuestos!$C$32*Supuestos!$K$32/Supuestos!$Q$32</f>
        <v>2000000</v>
      </c>
      <c r="V30" s="4" t="n">
        <f aca="false">U30*Supuestos!$D$32*Supuestos!H$7</f>
        <v>7000000</v>
      </c>
      <c r="W30" s="19" t="n">
        <f aca="false">IFERROR((V30-U30)/U30,"-")</f>
        <v>2.5</v>
      </c>
      <c r="X30" s="4" t="n">
        <f aca="false">Supuestos!$C$32*Supuestos!$L$32/Supuestos!$Q$32</f>
        <v>0</v>
      </c>
      <c r="Y30" s="4" t="n">
        <f aca="false">X30*Supuestos!$D$32*Supuestos!I$7</f>
        <v>0</v>
      </c>
      <c r="Z30" s="19" t="str">
        <f aca="false">IFERROR((Y30-X30)/X30,"-")</f>
        <v>-</v>
      </c>
      <c r="AA30" s="4" t="n">
        <f aca="false">Supuestos!$C$32*Supuestos!$M$32/Supuestos!$Q$32</f>
        <v>0</v>
      </c>
      <c r="AB30" s="4" t="n">
        <f aca="false">AA30*Supuestos!$D$32*Supuestos!J$7</f>
        <v>0</v>
      </c>
      <c r="AC30" s="19" t="str">
        <f aca="false">IFERROR((AB30-AA30)/AA30,"-")</f>
        <v>-</v>
      </c>
      <c r="AD30" s="4" t="n">
        <f aca="false">Supuestos!$C$32*Supuestos!$N$32/Supuestos!$Q$32</f>
        <v>0</v>
      </c>
      <c r="AE30" s="4" t="n">
        <f aca="false">AD30*Supuestos!$D$32*Supuestos!K$7</f>
        <v>0</v>
      </c>
      <c r="AF30" s="19" t="str">
        <f aca="false">IFERROR((AE30-AD30)/AD30,"-")</f>
        <v>-</v>
      </c>
      <c r="AG30" s="4" t="n">
        <f aca="false">Supuestos!$C$32*Supuestos!$O$32/Supuestos!$Q$32</f>
        <v>0</v>
      </c>
      <c r="AH30" s="4" t="n">
        <f aca="false">AG30*Supuestos!$D$32*Supuestos!L$7</f>
        <v>0</v>
      </c>
      <c r="AI30" s="19" t="str">
        <f aca="false">IFERROR((AH30-AG30)/AG30,"-")</f>
        <v>-</v>
      </c>
      <c r="AJ30" s="4" t="n">
        <f aca="false">Supuestos!$C$32*Supuestos!$P$32/Supuestos!$Q$32</f>
        <v>0</v>
      </c>
      <c r="AK30" s="4" t="n">
        <f aca="false">AJ30*Supuestos!$D$32*Supuestos!M$7</f>
        <v>0</v>
      </c>
      <c r="AL30" s="19" t="str">
        <f aca="false">IFERROR((AK30-AJ30)/AJ30,"-")</f>
        <v>-</v>
      </c>
      <c r="AM30" s="20" t="n">
        <f aca="false">C30+F30+I30+L30+O30+R30+U30+X30+AA30+AD30+AG30+AJ30</f>
        <v>2000000</v>
      </c>
      <c r="AN30" s="20" t="n">
        <f aca="false">D30+G30+J30+M30+P30+S30+V30+Y30+AB30+AE30+AH30+AK30</f>
        <v>7000000</v>
      </c>
      <c r="AO30" s="21" t="n">
        <f aca="false">IFERROR((AN30-AM30)/AM30,"-")</f>
        <v>2.5</v>
      </c>
    </row>
    <row r="31" customFormat="false" ht="15" hidden="false" customHeight="false" outlineLevel="0" collapsed="false">
      <c r="A31" s="3" t="s">
        <v>10</v>
      </c>
      <c r="B31" s="3" t="s">
        <v>61</v>
      </c>
      <c r="C31" s="4" t="n">
        <f aca="false">Supuestos!$C$33*Supuestos!$E$33/Supuestos!$Q$33</f>
        <v>0</v>
      </c>
      <c r="D31" s="4" t="n">
        <f aca="false">C31*Supuestos!$D$33*Supuestos!B$7</f>
        <v>0</v>
      </c>
      <c r="E31" s="19" t="str">
        <f aca="false">IFERROR((D31-C31)/C31,"-")</f>
        <v>-</v>
      </c>
      <c r="F31" s="4" t="n">
        <f aca="false">Supuestos!$C$33*Supuestos!$F$33/Supuestos!$Q$33</f>
        <v>0</v>
      </c>
      <c r="G31" s="4" t="n">
        <f aca="false">F31*Supuestos!$D$33*Supuestos!C$7</f>
        <v>0</v>
      </c>
      <c r="H31" s="19" t="str">
        <f aca="false">IFERROR((G31-F31)/F31,"-")</f>
        <v>-</v>
      </c>
      <c r="I31" s="4" t="n">
        <f aca="false">Supuestos!$C$33*Supuestos!$G$33/Supuestos!$Q$33</f>
        <v>0</v>
      </c>
      <c r="J31" s="4" t="n">
        <f aca="false">I31*Supuestos!$D$33*Supuestos!D$7</f>
        <v>0</v>
      </c>
      <c r="K31" s="19" t="str">
        <f aca="false">IFERROR((J31-I31)/I31,"-")</f>
        <v>-</v>
      </c>
      <c r="L31" s="4" t="n">
        <f aca="false">Supuestos!$C$33*Supuestos!$H$33/Supuestos!$Q$33</f>
        <v>0</v>
      </c>
      <c r="M31" s="4" t="n">
        <f aca="false">L31*Supuestos!$D$33*Supuestos!E$7</f>
        <v>0</v>
      </c>
      <c r="N31" s="19" t="str">
        <f aca="false">IFERROR((M31-L31)/L31,"-")</f>
        <v>-</v>
      </c>
      <c r="O31" s="4" t="n">
        <f aca="false">Supuestos!$C$33*Supuestos!$I$33/Supuestos!$Q$33</f>
        <v>0</v>
      </c>
      <c r="P31" s="4" t="n">
        <f aca="false">O31*Supuestos!$D$33*Supuestos!F$7</f>
        <v>0</v>
      </c>
      <c r="Q31" s="19" t="str">
        <f aca="false">IFERROR((P31-O31)/O31,"-")</f>
        <v>-</v>
      </c>
      <c r="R31" s="4" t="n">
        <f aca="false">Supuestos!$C$33*Supuestos!$J$33/Supuestos!$Q$33</f>
        <v>0</v>
      </c>
      <c r="S31" s="4" t="n">
        <f aca="false">R31*Supuestos!$D$33*Supuestos!G$7</f>
        <v>0</v>
      </c>
      <c r="T31" s="19" t="str">
        <f aca="false">IFERROR((S31-R31)/R31,"-")</f>
        <v>-</v>
      </c>
      <c r="U31" s="4" t="n">
        <f aca="false">Supuestos!$C$33*Supuestos!$K$33/Supuestos!$Q$33</f>
        <v>0</v>
      </c>
      <c r="V31" s="4" t="n">
        <f aca="false">U31*Supuestos!$D$33*Supuestos!H$7</f>
        <v>0</v>
      </c>
      <c r="W31" s="19" t="str">
        <f aca="false">IFERROR((V31-U31)/U31,"-")</f>
        <v>-</v>
      </c>
      <c r="X31" s="4" t="n">
        <f aca="false">Supuestos!$C$33*Supuestos!$L$33/Supuestos!$Q$33</f>
        <v>0</v>
      </c>
      <c r="Y31" s="4" t="n">
        <f aca="false">X31*Supuestos!$D$33*Supuestos!I$7</f>
        <v>0</v>
      </c>
      <c r="Z31" s="19" t="str">
        <f aca="false">IFERROR((Y31-X31)/X31,"-")</f>
        <v>-</v>
      </c>
      <c r="AA31" s="4" t="n">
        <f aca="false">Supuestos!$C$33*Supuestos!$M$33/Supuestos!$Q$33</f>
        <v>2200000</v>
      </c>
      <c r="AB31" s="4" t="n">
        <f aca="false">AA31*Supuestos!$D$33*Supuestos!J$7</f>
        <v>9680000</v>
      </c>
      <c r="AC31" s="19" t="n">
        <f aca="false">IFERROR((AB31-AA31)/AA31,"-")</f>
        <v>3.4</v>
      </c>
      <c r="AD31" s="4" t="n">
        <f aca="false">Supuestos!$C$33*Supuestos!$N$33/Supuestos!$Q$33</f>
        <v>0</v>
      </c>
      <c r="AE31" s="4" t="n">
        <f aca="false">AD31*Supuestos!$D$33*Supuestos!K$7</f>
        <v>0</v>
      </c>
      <c r="AF31" s="19" t="str">
        <f aca="false">IFERROR((AE31-AD31)/AD31,"-")</f>
        <v>-</v>
      </c>
      <c r="AG31" s="4" t="n">
        <f aca="false">Supuestos!$C$33*Supuestos!$O$33/Supuestos!$Q$33</f>
        <v>0</v>
      </c>
      <c r="AH31" s="4" t="n">
        <f aca="false">AG31*Supuestos!$D$33*Supuestos!L$7</f>
        <v>0</v>
      </c>
      <c r="AI31" s="19" t="str">
        <f aca="false">IFERROR((AH31-AG31)/AG31,"-")</f>
        <v>-</v>
      </c>
      <c r="AJ31" s="4" t="n">
        <f aca="false">Supuestos!$C$33*Supuestos!$P$33/Supuestos!$Q$33</f>
        <v>0</v>
      </c>
      <c r="AK31" s="4" t="n">
        <f aca="false">AJ31*Supuestos!$D$33*Supuestos!M$7</f>
        <v>0</v>
      </c>
      <c r="AL31" s="19" t="str">
        <f aca="false">IFERROR((AK31-AJ31)/AJ31,"-")</f>
        <v>-</v>
      </c>
      <c r="AM31" s="20" t="n">
        <f aca="false">C31+F31+I31+L31+O31+R31+U31+X31+AA31+AD31+AG31+AJ31</f>
        <v>2200000</v>
      </c>
      <c r="AN31" s="20" t="n">
        <f aca="false">D31+G31+J31+M31+P31+S31+V31+Y31+AB31+AE31+AH31+AK31</f>
        <v>9680000</v>
      </c>
      <c r="AO31" s="21" t="n">
        <f aca="false">IFERROR((AN31-AM31)/AM31,"-")</f>
        <v>3.4</v>
      </c>
    </row>
    <row r="32" customFormat="false" ht="15" hidden="false" customHeight="false" outlineLevel="0" collapsed="false">
      <c r="A32" s="3" t="s">
        <v>10</v>
      </c>
      <c r="B32" s="3" t="s">
        <v>62</v>
      </c>
      <c r="C32" s="4" t="n">
        <f aca="false">Supuestos!$C$34*Supuestos!$E$34/Supuestos!$Q$34</f>
        <v>0</v>
      </c>
      <c r="D32" s="4" t="n">
        <f aca="false">C32*Supuestos!$D$34*Supuestos!B$7</f>
        <v>0</v>
      </c>
      <c r="E32" s="19" t="str">
        <f aca="false">IFERROR((D32-C32)/C32,"-")</f>
        <v>-</v>
      </c>
      <c r="F32" s="4" t="n">
        <f aca="false">Supuestos!$C$34*Supuestos!$F$34/Supuestos!$Q$34</f>
        <v>0</v>
      </c>
      <c r="G32" s="4" t="n">
        <f aca="false">F32*Supuestos!$D$34*Supuestos!C$7</f>
        <v>0</v>
      </c>
      <c r="H32" s="19" t="str">
        <f aca="false">IFERROR((G32-F32)/F32,"-")</f>
        <v>-</v>
      </c>
      <c r="I32" s="4" t="n">
        <f aca="false">Supuestos!$C$34*Supuestos!$G$34/Supuestos!$Q$34</f>
        <v>0</v>
      </c>
      <c r="J32" s="4" t="n">
        <f aca="false">I32*Supuestos!$D$34*Supuestos!D$7</f>
        <v>0</v>
      </c>
      <c r="K32" s="19" t="str">
        <f aca="false">IFERROR((J32-I32)/I32,"-")</f>
        <v>-</v>
      </c>
      <c r="L32" s="4" t="n">
        <f aca="false">Supuestos!$C$34*Supuestos!$H$34/Supuestos!$Q$34</f>
        <v>0</v>
      </c>
      <c r="M32" s="4" t="n">
        <f aca="false">L32*Supuestos!$D$34*Supuestos!E$7</f>
        <v>0</v>
      </c>
      <c r="N32" s="19" t="str">
        <f aca="false">IFERROR((M32-L32)/L32,"-")</f>
        <v>-</v>
      </c>
      <c r="O32" s="4" t="n">
        <f aca="false">Supuestos!$C$34*Supuestos!$I$34/Supuestos!$Q$34</f>
        <v>0</v>
      </c>
      <c r="P32" s="4" t="n">
        <f aca="false">O32*Supuestos!$D$34*Supuestos!F$7</f>
        <v>0</v>
      </c>
      <c r="Q32" s="19" t="str">
        <f aca="false">IFERROR((P32-O32)/O32,"-")</f>
        <v>-</v>
      </c>
      <c r="R32" s="4" t="n">
        <f aca="false">Supuestos!$C$34*Supuestos!$J$34/Supuestos!$Q$34</f>
        <v>0</v>
      </c>
      <c r="S32" s="4" t="n">
        <f aca="false">R32*Supuestos!$D$34*Supuestos!G$7</f>
        <v>0</v>
      </c>
      <c r="T32" s="19" t="str">
        <f aca="false">IFERROR((S32-R32)/R32,"-")</f>
        <v>-</v>
      </c>
      <c r="U32" s="4" t="n">
        <f aca="false">Supuestos!$C$34*Supuestos!$K$34/Supuestos!$Q$34</f>
        <v>0</v>
      </c>
      <c r="V32" s="4" t="n">
        <f aca="false">U32*Supuestos!$D$34*Supuestos!H$7</f>
        <v>0</v>
      </c>
      <c r="W32" s="19" t="str">
        <f aca="false">IFERROR((V32-U32)/U32,"-")</f>
        <v>-</v>
      </c>
      <c r="X32" s="4" t="n">
        <f aca="false">Supuestos!$C$34*Supuestos!$L$34/Supuestos!$Q$34</f>
        <v>0</v>
      </c>
      <c r="Y32" s="4" t="n">
        <f aca="false">X32*Supuestos!$D$34*Supuestos!I$7</f>
        <v>0</v>
      </c>
      <c r="Z32" s="19" t="str">
        <f aca="false">IFERROR((Y32-X32)/X32,"-")</f>
        <v>-</v>
      </c>
      <c r="AA32" s="4" t="n">
        <f aca="false">Supuestos!$C$34*Supuestos!$M$34/Supuestos!$Q$34</f>
        <v>0</v>
      </c>
      <c r="AB32" s="4" t="n">
        <f aca="false">AA32*Supuestos!$D$34*Supuestos!J$7</f>
        <v>0</v>
      </c>
      <c r="AC32" s="19" t="str">
        <f aca="false">IFERROR((AB32-AA32)/AA32,"-")</f>
        <v>-</v>
      </c>
      <c r="AD32" s="4" t="n">
        <f aca="false">Supuestos!$C$34*Supuestos!$N$34/Supuestos!$Q$34</f>
        <v>2500000</v>
      </c>
      <c r="AE32" s="4" t="n">
        <f aca="false">AD32*Supuestos!$D$34*Supuestos!K$7</f>
        <v>8800000</v>
      </c>
      <c r="AF32" s="19" t="n">
        <f aca="false">IFERROR((AE32-AD32)/AD32,"-")</f>
        <v>2.52</v>
      </c>
      <c r="AG32" s="4" t="n">
        <f aca="false">Supuestos!$C$34*Supuestos!$O$34/Supuestos!$Q$34</f>
        <v>0</v>
      </c>
      <c r="AH32" s="4" t="n">
        <f aca="false">AG32*Supuestos!$D$34*Supuestos!L$7</f>
        <v>0</v>
      </c>
      <c r="AI32" s="19" t="str">
        <f aca="false">IFERROR((AH32-AG32)/AG32,"-")</f>
        <v>-</v>
      </c>
      <c r="AJ32" s="4" t="n">
        <f aca="false">Supuestos!$C$34*Supuestos!$P$34/Supuestos!$Q$34</f>
        <v>0</v>
      </c>
      <c r="AK32" s="4" t="n">
        <f aca="false">AJ32*Supuestos!$D$34*Supuestos!M$7</f>
        <v>0</v>
      </c>
      <c r="AL32" s="19" t="str">
        <f aca="false">IFERROR((AK32-AJ32)/AJ32,"-")</f>
        <v>-</v>
      </c>
      <c r="AM32" s="20" t="n">
        <f aca="false">C32+F32+I32+L32+O32+R32+U32+X32+AA32+AD32+AG32+AJ32</f>
        <v>2500000</v>
      </c>
      <c r="AN32" s="20" t="n">
        <f aca="false">D32+G32+J32+M32+P32+S32+V32+Y32+AB32+AE32+AH32+AK32</f>
        <v>8800000</v>
      </c>
      <c r="AO32" s="21" t="n">
        <f aca="false">IFERROR((AN32-AM32)/AM32,"-")</f>
        <v>2.52</v>
      </c>
    </row>
    <row r="33" customFormat="false" ht="15" hidden="false" customHeight="false" outlineLevel="0" collapsed="false">
      <c r="A33" s="3" t="s">
        <v>10</v>
      </c>
      <c r="B33" s="3" t="s">
        <v>63</v>
      </c>
      <c r="C33" s="4" t="n">
        <f aca="false">Supuestos!$C$35*Supuestos!$E$35/Supuestos!$Q$35</f>
        <v>0</v>
      </c>
      <c r="D33" s="4" t="n">
        <f aca="false">C33*Supuestos!$D$35*Supuestos!B$7</f>
        <v>0</v>
      </c>
      <c r="E33" s="19" t="str">
        <f aca="false">IFERROR((D33-C33)/C33,"-")</f>
        <v>-</v>
      </c>
      <c r="F33" s="4" t="n">
        <f aca="false">Supuestos!$C$35*Supuestos!$F$35/Supuestos!$Q$35</f>
        <v>0</v>
      </c>
      <c r="G33" s="4" t="n">
        <f aca="false">F33*Supuestos!$D$35*Supuestos!C$7</f>
        <v>0</v>
      </c>
      <c r="H33" s="19" t="str">
        <f aca="false">IFERROR((G33-F33)/F33,"-")</f>
        <v>-</v>
      </c>
      <c r="I33" s="4" t="n">
        <f aca="false">Supuestos!$C$35*Supuestos!$G$35/Supuestos!$Q$35</f>
        <v>0</v>
      </c>
      <c r="J33" s="4" t="n">
        <f aca="false">I33*Supuestos!$D$35*Supuestos!D$7</f>
        <v>0</v>
      </c>
      <c r="K33" s="19" t="str">
        <f aca="false">IFERROR((J33-I33)/I33,"-")</f>
        <v>-</v>
      </c>
      <c r="L33" s="4" t="n">
        <f aca="false">Supuestos!$C$35*Supuestos!$H$35/Supuestos!$Q$35</f>
        <v>0</v>
      </c>
      <c r="M33" s="4" t="n">
        <f aca="false">L33*Supuestos!$D$35*Supuestos!E$7</f>
        <v>0</v>
      </c>
      <c r="N33" s="19" t="str">
        <f aca="false">IFERROR((M33-L33)/L33,"-")</f>
        <v>-</v>
      </c>
      <c r="O33" s="4" t="n">
        <f aca="false">Supuestos!$C$35*Supuestos!$I$35/Supuestos!$Q$35</f>
        <v>0</v>
      </c>
      <c r="P33" s="4" t="n">
        <f aca="false">O33*Supuestos!$D$35*Supuestos!F$7</f>
        <v>0</v>
      </c>
      <c r="Q33" s="19" t="str">
        <f aca="false">IFERROR((P33-O33)/O33,"-")</f>
        <v>-</v>
      </c>
      <c r="R33" s="4" t="n">
        <f aca="false">Supuestos!$C$35*Supuestos!$J$35/Supuestos!$Q$35</f>
        <v>0</v>
      </c>
      <c r="S33" s="4" t="n">
        <f aca="false">R33*Supuestos!$D$35*Supuestos!G$7</f>
        <v>0</v>
      </c>
      <c r="T33" s="19" t="str">
        <f aca="false">IFERROR((S33-R33)/R33,"-")</f>
        <v>-</v>
      </c>
      <c r="U33" s="4" t="n">
        <f aca="false">Supuestos!$C$35*Supuestos!$K$35/Supuestos!$Q$35</f>
        <v>0</v>
      </c>
      <c r="V33" s="4" t="n">
        <f aca="false">U33*Supuestos!$D$35*Supuestos!H$7</f>
        <v>0</v>
      </c>
      <c r="W33" s="19" t="str">
        <f aca="false">IFERROR((V33-U33)/U33,"-")</f>
        <v>-</v>
      </c>
      <c r="X33" s="4" t="n">
        <f aca="false">Supuestos!$C$35*Supuestos!$L$35/Supuestos!$Q$35</f>
        <v>0</v>
      </c>
      <c r="Y33" s="4" t="n">
        <f aca="false">X33*Supuestos!$D$35*Supuestos!I$7</f>
        <v>0</v>
      </c>
      <c r="Z33" s="19" t="str">
        <f aca="false">IFERROR((Y33-X33)/X33,"-")</f>
        <v>-</v>
      </c>
      <c r="AA33" s="4" t="n">
        <f aca="false">Supuestos!$C$35*Supuestos!$M$35/Supuestos!$Q$35</f>
        <v>0</v>
      </c>
      <c r="AB33" s="4" t="n">
        <f aca="false">AA33*Supuestos!$D$35*Supuestos!J$7</f>
        <v>0</v>
      </c>
      <c r="AC33" s="19" t="str">
        <f aca="false">IFERROR((AB33-AA33)/AA33,"-")</f>
        <v>-</v>
      </c>
      <c r="AD33" s="4" t="n">
        <f aca="false">Supuestos!$C$35*Supuestos!$N$35/Supuestos!$Q$35</f>
        <v>0</v>
      </c>
      <c r="AE33" s="4" t="n">
        <f aca="false">AD33*Supuestos!$D$35*Supuestos!K$7</f>
        <v>0</v>
      </c>
      <c r="AF33" s="19" t="str">
        <f aca="false">IFERROR((AE33-AD33)/AD33,"-")</f>
        <v>-</v>
      </c>
      <c r="AG33" s="4" t="n">
        <f aca="false">Supuestos!$C$35*Supuestos!$O$35/Supuestos!$Q$35</f>
        <v>2000000</v>
      </c>
      <c r="AH33" s="4" t="n">
        <f aca="false">AG33*Supuestos!$D$35*Supuestos!L$7</f>
        <v>10350000</v>
      </c>
      <c r="AI33" s="19" t="n">
        <f aca="false">IFERROR((AH33-AG33)/AG33,"-")</f>
        <v>4.175</v>
      </c>
      <c r="AJ33" s="4" t="n">
        <f aca="false">Supuestos!$C$35*Supuestos!$P$35/Supuestos!$Q$35</f>
        <v>0</v>
      </c>
      <c r="AK33" s="4" t="n">
        <f aca="false">AJ33*Supuestos!$D$35*Supuestos!M$7</f>
        <v>0</v>
      </c>
      <c r="AL33" s="19" t="str">
        <f aca="false">IFERROR((AK33-AJ33)/AJ33,"-")</f>
        <v>-</v>
      </c>
      <c r="AM33" s="20" t="n">
        <f aca="false">C33+F33+I33+L33+O33+R33+U33+X33+AA33+AD33+AG33+AJ33</f>
        <v>2000000</v>
      </c>
      <c r="AN33" s="20" t="n">
        <f aca="false">D33+G33+J33+M33+P33+S33+V33+Y33+AB33+AE33+AH33+AK33</f>
        <v>10350000</v>
      </c>
      <c r="AO33" s="21" t="n">
        <f aca="false">IFERROR((AN33-AM33)/AM33,"-")</f>
        <v>4.175</v>
      </c>
    </row>
    <row r="34" customFormat="false" ht="15" hidden="false" customHeight="false" outlineLevel="0" collapsed="false">
      <c r="A34" s="3" t="s">
        <v>10</v>
      </c>
      <c r="B34" s="3" t="s">
        <v>64</v>
      </c>
      <c r="C34" s="4" t="n">
        <f aca="false">Supuestos!$C$36*Supuestos!$E$36/Supuestos!$Q$36</f>
        <v>0</v>
      </c>
      <c r="D34" s="4" t="n">
        <f aca="false">C34*Supuestos!$D$36*Supuestos!B$7</f>
        <v>0</v>
      </c>
      <c r="E34" s="19" t="str">
        <f aca="false">IFERROR((D34-C34)/C34,"-")</f>
        <v>-</v>
      </c>
      <c r="F34" s="4" t="n">
        <f aca="false">Supuestos!$C$36*Supuestos!$F$36/Supuestos!$Q$36</f>
        <v>0</v>
      </c>
      <c r="G34" s="4" t="n">
        <f aca="false">F34*Supuestos!$D$36*Supuestos!C$7</f>
        <v>0</v>
      </c>
      <c r="H34" s="19" t="str">
        <f aca="false">IFERROR((G34-F34)/F34,"-")</f>
        <v>-</v>
      </c>
      <c r="I34" s="4" t="n">
        <f aca="false">Supuestos!$C$36*Supuestos!$G$36/Supuestos!$Q$36</f>
        <v>0</v>
      </c>
      <c r="J34" s="4" t="n">
        <f aca="false">I34*Supuestos!$D$36*Supuestos!D$7</f>
        <v>0</v>
      </c>
      <c r="K34" s="19" t="str">
        <f aca="false">IFERROR((J34-I34)/I34,"-")</f>
        <v>-</v>
      </c>
      <c r="L34" s="4" t="n">
        <f aca="false">Supuestos!$C$36*Supuestos!$H$36/Supuestos!$Q$36</f>
        <v>0</v>
      </c>
      <c r="M34" s="4" t="n">
        <f aca="false">L34*Supuestos!$D$36*Supuestos!E$7</f>
        <v>0</v>
      </c>
      <c r="N34" s="19" t="str">
        <f aca="false">IFERROR((M34-L34)/L34,"-")</f>
        <v>-</v>
      </c>
      <c r="O34" s="4" t="n">
        <f aca="false">Supuestos!$C$36*Supuestos!$I$36/Supuestos!$Q$36</f>
        <v>0</v>
      </c>
      <c r="P34" s="4" t="n">
        <f aca="false">O34*Supuestos!$D$36*Supuestos!F$7</f>
        <v>0</v>
      </c>
      <c r="Q34" s="19" t="str">
        <f aca="false">IFERROR((P34-O34)/O34,"-")</f>
        <v>-</v>
      </c>
      <c r="R34" s="4" t="n">
        <f aca="false">Supuestos!$C$36*Supuestos!$J$36/Supuestos!$Q$36</f>
        <v>0</v>
      </c>
      <c r="S34" s="4" t="n">
        <f aca="false">R34*Supuestos!$D$36*Supuestos!G$7</f>
        <v>0</v>
      </c>
      <c r="T34" s="19" t="str">
        <f aca="false">IFERROR((S34-R34)/R34,"-")</f>
        <v>-</v>
      </c>
      <c r="U34" s="4" t="n">
        <f aca="false">Supuestos!$C$36*Supuestos!$K$36/Supuestos!$Q$36</f>
        <v>0</v>
      </c>
      <c r="V34" s="4" t="n">
        <f aca="false">U34*Supuestos!$D$36*Supuestos!H$7</f>
        <v>0</v>
      </c>
      <c r="W34" s="19" t="str">
        <f aca="false">IFERROR((V34-U34)/U34,"-")</f>
        <v>-</v>
      </c>
      <c r="X34" s="4" t="n">
        <f aca="false">Supuestos!$C$36*Supuestos!$L$36/Supuestos!$Q$36</f>
        <v>0</v>
      </c>
      <c r="Y34" s="4" t="n">
        <f aca="false">X34*Supuestos!$D$36*Supuestos!I$7</f>
        <v>0</v>
      </c>
      <c r="Z34" s="19" t="str">
        <f aca="false">IFERROR((Y34-X34)/X34,"-")</f>
        <v>-</v>
      </c>
      <c r="AA34" s="4" t="n">
        <f aca="false">Supuestos!$C$36*Supuestos!$M$36/Supuestos!$Q$36</f>
        <v>0</v>
      </c>
      <c r="AB34" s="4" t="n">
        <f aca="false">AA34*Supuestos!$D$36*Supuestos!J$7</f>
        <v>0</v>
      </c>
      <c r="AC34" s="19" t="str">
        <f aca="false">IFERROR((AB34-AA34)/AA34,"-")</f>
        <v>-</v>
      </c>
      <c r="AD34" s="4" t="n">
        <f aca="false">Supuestos!$C$36*Supuestos!$N$36/Supuestos!$Q$36</f>
        <v>0</v>
      </c>
      <c r="AE34" s="4" t="n">
        <f aca="false">AD34*Supuestos!$D$36*Supuestos!K$7</f>
        <v>0</v>
      </c>
      <c r="AF34" s="19" t="str">
        <f aca="false">IFERROR((AE34-AD34)/AD34,"-")</f>
        <v>-</v>
      </c>
      <c r="AG34" s="4" t="n">
        <f aca="false">Supuestos!$C$36*Supuestos!$O$36/Supuestos!$Q$36</f>
        <v>0</v>
      </c>
      <c r="AH34" s="4" t="n">
        <f aca="false">AG34*Supuestos!$D$36*Supuestos!L$7</f>
        <v>0</v>
      </c>
      <c r="AI34" s="19" t="str">
        <f aca="false">IFERROR((AH34-AG34)/AG34,"-")</f>
        <v>-</v>
      </c>
      <c r="AJ34" s="4" t="n">
        <f aca="false">Supuestos!$C$36*Supuestos!$P$36/Supuestos!$Q$36</f>
        <v>3500000</v>
      </c>
      <c r="AK34" s="4" t="n">
        <f aca="false">AJ34*Supuestos!$D$36*Supuestos!M$7</f>
        <v>22750000</v>
      </c>
      <c r="AL34" s="19" t="n">
        <f aca="false">IFERROR((AK34-AJ34)/AJ34,"-")</f>
        <v>5.5</v>
      </c>
      <c r="AM34" s="20" t="n">
        <f aca="false">C34+F34+I34+L34+O34+R34+U34+X34+AA34+AD34+AG34+AJ34</f>
        <v>3500000</v>
      </c>
      <c r="AN34" s="20" t="n">
        <f aca="false">D34+G34+J34+M34+P34+S34+V34+Y34+AB34+AE34+AH34+AK34</f>
        <v>22750000</v>
      </c>
      <c r="AO34" s="21" t="n">
        <f aca="false">IFERROR((AN34-AM34)/AM34,"-")</f>
        <v>5.5</v>
      </c>
    </row>
    <row r="35" customFormat="false" ht="15.75" hidden="false" customHeight="true" outlineLevel="0" collapsed="false">
      <c r="A35" s="8" t="s">
        <v>65</v>
      </c>
      <c r="B35" s="8"/>
      <c r="C35" s="9" t="n">
        <f aca="false">C36+C37+C38+C39+C40</f>
        <v>0</v>
      </c>
      <c r="D35" s="9" t="n">
        <f aca="false">D36+D37+D38+D39+D40</f>
        <v>0</v>
      </c>
      <c r="E35" s="18" t="str">
        <f aca="false">IFERROR((D35-C35)/C35,"-")</f>
        <v>-</v>
      </c>
      <c r="F35" s="9" t="n">
        <f aca="false">F36+F37+F38+F39+F40</f>
        <v>1000000</v>
      </c>
      <c r="G35" s="9" t="n">
        <f aca="false">G36+G37+G38+G39+G40</f>
        <v>3450000</v>
      </c>
      <c r="H35" s="18" t="n">
        <f aca="false">IFERROR((G35-F35)/F35,"-")</f>
        <v>2.45</v>
      </c>
      <c r="I35" s="9" t="n">
        <f aca="false">I36+I37+I38+I39+I40</f>
        <v>1000000</v>
      </c>
      <c r="J35" s="9" t="n">
        <f aca="false">J36+J37+J38+J39+J40</f>
        <v>2520000</v>
      </c>
      <c r="K35" s="18" t="n">
        <f aca="false">IFERROR((J35-I35)/I35,"-")</f>
        <v>1.52</v>
      </c>
      <c r="L35" s="9" t="n">
        <f aca="false">L36+L37+L38+L39+L40</f>
        <v>1000000</v>
      </c>
      <c r="M35" s="9" t="n">
        <f aca="false">M36+M37+M38+M39+M40</f>
        <v>2380000</v>
      </c>
      <c r="N35" s="18" t="n">
        <f aca="false">IFERROR((M35-L35)/L35,"-")</f>
        <v>1.38</v>
      </c>
      <c r="O35" s="9" t="n">
        <f aca="false">O36+O37+O38+O39+O40</f>
        <v>2500000</v>
      </c>
      <c r="P35" s="9" t="n">
        <f aca="false">P36+P37+P38+P39+P40</f>
        <v>7665000</v>
      </c>
      <c r="Q35" s="18" t="n">
        <f aca="false">IFERROR((P35-O35)/O35,"-")</f>
        <v>2.066</v>
      </c>
      <c r="R35" s="9" t="n">
        <f aca="false">R36+R37+R38+R39+R40</f>
        <v>0</v>
      </c>
      <c r="S35" s="9" t="n">
        <f aca="false">S36+S37+S38+S39+S40</f>
        <v>0</v>
      </c>
      <c r="T35" s="18" t="str">
        <f aca="false">IFERROR((S35-R35)/R35,"-")</f>
        <v>-</v>
      </c>
      <c r="U35" s="9" t="n">
        <f aca="false">U36+U37+U38+U39+U40</f>
        <v>0</v>
      </c>
      <c r="V35" s="9" t="n">
        <f aca="false">V36+V37+V38+V39+V40</f>
        <v>0</v>
      </c>
      <c r="W35" s="18" t="str">
        <f aca="false">IFERROR((V35-U35)/U35,"-")</f>
        <v>-</v>
      </c>
      <c r="X35" s="9" t="n">
        <f aca="false">X36+X37+X38+X39+X40</f>
        <v>2250000</v>
      </c>
      <c r="Y35" s="9" t="n">
        <f aca="false">Y36+Y37+Y38+Y39+Y40</f>
        <v>6431250</v>
      </c>
      <c r="Z35" s="18" t="n">
        <f aca="false">IFERROR((Y35-X35)/X35,"-")</f>
        <v>1.85833333333333</v>
      </c>
      <c r="AA35" s="9" t="n">
        <f aca="false">AA36+AA37+AA38+AA39+AA40</f>
        <v>1250000</v>
      </c>
      <c r="AB35" s="9" t="n">
        <f aca="false">AB36+AB37+AB38+AB39+AB40</f>
        <v>3437500</v>
      </c>
      <c r="AC35" s="18" t="n">
        <f aca="false">IFERROR((AB35-AA35)/AA35,"-")</f>
        <v>1.75</v>
      </c>
      <c r="AD35" s="9" t="n">
        <f aca="false">AD36+AD37+AD38+AD39+AD40</f>
        <v>900000</v>
      </c>
      <c r="AE35" s="9" t="n">
        <f aca="false">AE36+AE37+AE38+AE39+AE40</f>
        <v>1782000</v>
      </c>
      <c r="AF35" s="18" t="n">
        <f aca="false">IFERROR((AE35-AD35)/AD35,"-")</f>
        <v>0.98</v>
      </c>
      <c r="AG35" s="9" t="n">
        <f aca="false">AG36+AG37+AG38+AG39+AG40</f>
        <v>900000</v>
      </c>
      <c r="AH35" s="9" t="n">
        <f aca="false">AH36+AH37+AH38+AH39+AH40</f>
        <v>1863000</v>
      </c>
      <c r="AI35" s="18" t="n">
        <f aca="false">IFERROR((AH35-AG35)/AG35,"-")</f>
        <v>1.07</v>
      </c>
      <c r="AJ35" s="9" t="n">
        <f aca="false">AJ36+AJ37+AJ38+AJ39+AJ40</f>
        <v>0</v>
      </c>
      <c r="AK35" s="9" t="n">
        <f aca="false">AK36+AK37+AK38+AK39+AK40</f>
        <v>0</v>
      </c>
      <c r="AL35" s="18" t="str">
        <f aca="false">IFERROR((AK35-AJ35)/AJ35,"-")</f>
        <v>-</v>
      </c>
      <c r="AM35" s="9" t="n">
        <f aca="false">C35+F35+I35+L35+O35+R35+U35+X35+AA35+AD35+AG35+AJ35</f>
        <v>10800000</v>
      </c>
      <c r="AN35" s="9" t="n">
        <f aca="false">D35+G35+J35+M35+P35+S35+V35+Y35+AB35+AE35+AH35+AK35</f>
        <v>29528750</v>
      </c>
      <c r="AO35" s="18" t="n">
        <f aca="false">IFERROR((AN35-AM35)/AM35,"-")</f>
        <v>1.73414351851852</v>
      </c>
    </row>
    <row r="36" customFormat="false" ht="15" hidden="false" customHeight="false" outlineLevel="0" collapsed="false">
      <c r="A36" s="3" t="s">
        <v>11</v>
      </c>
      <c r="B36" s="3" t="s">
        <v>66</v>
      </c>
      <c r="C36" s="4" t="n">
        <f aca="false">Supuestos!$C$37*Supuestos!$E$37/Supuestos!$Q$37</f>
        <v>0</v>
      </c>
      <c r="D36" s="4" t="n">
        <f aca="false">C36*Supuestos!$D$37*Supuestos!B$7</f>
        <v>0</v>
      </c>
      <c r="E36" s="19" t="str">
        <f aca="false">IFERROR((D36-C36)/C36,"-")</f>
        <v>-</v>
      </c>
      <c r="F36" s="4" t="n">
        <f aca="false">Supuestos!$C$37*Supuestos!$F$37/Supuestos!$Q$37</f>
        <v>1000000</v>
      </c>
      <c r="G36" s="4" t="n">
        <f aca="false">F36*Supuestos!$D$37*Supuestos!C$7</f>
        <v>3450000</v>
      </c>
      <c r="H36" s="19" t="n">
        <f aca="false">IFERROR((G36-F36)/F36,"-")</f>
        <v>2.45</v>
      </c>
      <c r="I36" s="4" t="n">
        <f aca="false">Supuestos!$C$37*Supuestos!$G$37/Supuestos!$Q$37</f>
        <v>0</v>
      </c>
      <c r="J36" s="4" t="n">
        <f aca="false">I36*Supuestos!$D$37*Supuestos!D$7</f>
        <v>0</v>
      </c>
      <c r="K36" s="19" t="str">
        <f aca="false">IFERROR((J36-I36)/I36,"-")</f>
        <v>-</v>
      </c>
      <c r="L36" s="4" t="n">
        <f aca="false">Supuestos!$C$37*Supuestos!$H$37/Supuestos!$Q$37</f>
        <v>0</v>
      </c>
      <c r="M36" s="4" t="n">
        <f aca="false">L36*Supuestos!$D$37*Supuestos!E$7</f>
        <v>0</v>
      </c>
      <c r="N36" s="19" t="str">
        <f aca="false">IFERROR((M36-L36)/L36,"-")</f>
        <v>-</v>
      </c>
      <c r="O36" s="4" t="n">
        <f aca="false">Supuestos!$C$37*Supuestos!$I$37/Supuestos!$Q$37</f>
        <v>0</v>
      </c>
      <c r="P36" s="4" t="n">
        <f aca="false">O36*Supuestos!$D$37*Supuestos!F$7</f>
        <v>0</v>
      </c>
      <c r="Q36" s="19" t="str">
        <f aca="false">IFERROR((P36-O36)/O36,"-")</f>
        <v>-</v>
      </c>
      <c r="R36" s="4" t="n">
        <f aca="false">Supuestos!$C$37*Supuestos!$J$37/Supuestos!$Q$37</f>
        <v>0</v>
      </c>
      <c r="S36" s="4" t="n">
        <f aca="false">R36*Supuestos!$D$37*Supuestos!G$7</f>
        <v>0</v>
      </c>
      <c r="T36" s="19" t="str">
        <f aca="false">IFERROR((S36-R36)/R36,"-")</f>
        <v>-</v>
      </c>
      <c r="U36" s="4" t="n">
        <f aca="false">Supuestos!$C$37*Supuestos!$K$37/Supuestos!$Q$37</f>
        <v>0</v>
      </c>
      <c r="V36" s="4" t="n">
        <f aca="false">U36*Supuestos!$D$37*Supuestos!H$7</f>
        <v>0</v>
      </c>
      <c r="W36" s="19" t="str">
        <f aca="false">IFERROR((V36-U36)/U36,"-")</f>
        <v>-</v>
      </c>
      <c r="X36" s="4" t="n">
        <f aca="false">Supuestos!$C$37*Supuestos!$L$37/Supuestos!$Q$37</f>
        <v>1000000</v>
      </c>
      <c r="Y36" s="4" t="n">
        <f aca="false">X36*Supuestos!$D$37*Supuestos!I$7</f>
        <v>3150000</v>
      </c>
      <c r="Z36" s="19" t="n">
        <f aca="false">IFERROR((Y36-X36)/X36,"-")</f>
        <v>2.15</v>
      </c>
      <c r="AA36" s="4" t="n">
        <f aca="false">Supuestos!$C$37*Supuestos!$M$37/Supuestos!$Q$37</f>
        <v>0</v>
      </c>
      <c r="AB36" s="4" t="n">
        <f aca="false">AA36*Supuestos!$D$37*Supuestos!J$7</f>
        <v>0</v>
      </c>
      <c r="AC36" s="19" t="str">
        <f aca="false">IFERROR((AB36-AA36)/AA36,"-")</f>
        <v>-</v>
      </c>
      <c r="AD36" s="4" t="n">
        <f aca="false">Supuestos!$C$37*Supuestos!$N$37/Supuestos!$Q$37</f>
        <v>0</v>
      </c>
      <c r="AE36" s="4" t="n">
        <f aca="false">AD36*Supuestos!$D$37*Supuestos!K$7</f>
        <v>0</v>
      </c>
      <c r="AF36" s="19" t="str">
        <f aca="false">IFERROR((AE36-AD36)/AD36,"-")</f>
        <v>-</v>
      </c>
      <c r="AG36" s="4" t="n">
        <f aca="false">Supuestos!$C$37*Supuestos!$O$37/Supuestos!$Q$37</f>
        <v>0</v>
      </c>
      <c r="AH36" s="4" t="n">
        <f aca="false">AG36*Supuestos!$D$37*Supuestos!L$7</f>
        <v>0</v>
      </c>
      <c r="AI36" s="19" t="str">
        <f aca="false">IFERROR((AH36-AG36)/AG36,"-")</f>
        <v>-</v>
      </c>
      <c r="AJ36" s="4" t="n">
        <f aca="false">Supuestos!$C$37*Supuestos!$P$37/Supuestos!$Q$37</f>
        <v>0</v>
      </c>
      <c r="AK36" s="4" t="n">
        <f aca="false">AJ36*Supuestos!$D$37*Supuestos!M$7</f>
        <v>0</v>
      </c>
      <c r="AL36" s="19" t="str">
        <f aca="false">IFERROR((AK36-AJ36)/AJ36,"-")</f>
        <v>-</v>
      </c>
      <c r="AM36" s="20" t="n">
        <f aca="false">C36+F36+I36+L36+O36+R36+U36+X36+AA36+AD36+AG36+AJ36</f>
        <v>2000000</v>
      </c>
      <c r="AN36" s="20" t="n">
        <f aca="false">D36+G36+J36+M36+P36+S36+V36+Y36+AB36+AE36+AH36+AK36</f>
        <v>6600000</v>
      </c>
      <c r="AO36" s="21" t="n">
        <f aca="false">IFERROR((AN36-AM36)/AM36,"-")</f>
        <v>2.3</v>
      </c>
    </row>
    <row r="37" customFormat="false" ht="15" hidden="false" customHeight="false" outlineLevel="0" collapsed="false">
      <c r="A37" s="3" t="s">
        <v>11</v>
      </c>
      <c r="B37" s="3" t="s">
        <v>67</v>
      </c>
      <c r="C37" s="4" t="n">
        <f aca="false">Supuestos!$C$38*Supuestos!$E$38/Supuestos!$Q$38</f>
        <v>0</v>
      </c>
      <c r="D37" s="4" t="n">
        <f aca="false">C37*Supuestos!$D$38*Supuestos!B$7</f>
        <v>0</v>
      </c>
      <c r="E37" s="19" t="str">
        <f aca="false">IFERROR((D37-C37)/C37,"-")</f>
        <v>-</v>
      </c>
      <c r="F37" s="4" t="n">
        <f aca="false">Supuestos!$C$38*Supuestos!$F$38/Supuestos!$Q$38</f>
        <v>0</v>
      </c>
      <c r="G37" s="4" t="n">
        <f aca="false">F37*Supuestos!$D$38*Supuestos!C$7</f>
        <v>0</v>
      </c>
      <c r="H37" s="19" t="str">
        <f aca="false">IFERROR((G37-F37)/F37,"-")</f>
        <v>-</v>
      </c>
      <c r="I37" s="4" t="n">
        <f aca="false">Supuestos!$C$38*Supuestos!$G$38/Supuestos!$Q$38</f>
        <v>1000000</v>
      </c>
      <c r="J37" s="4" t="n">
        <f aca="false">I37*Supuestos!$D$38*Supuestos!D$7</f>
        <v>2520000</v>
      </c>
      <c r="K37" s="19" t="n">
        <f aca="false">IFERROR((J37-I37)/I37,"-")</f>
        <v>1.52</v>
      </c>
      <c r="L37" s="4" t="n">
        <f aca="false">Supuestos!$C$38*Supuestos!$H$38/Supuestos!$Q$38</f>
        <v>1000000</v>
      </c>
      <c r="M37" s="4" t="n">
        <f aca="false">L37*Supuestos!$D$38*Supuestos!E$7</f>
        <v>2380000</v>
      </c>
      <c r="N37" s="19" t="n">
        <f aca="false">IFERROR((M37-L37)/L37,"-")</f>
        <v>1.38</v>
      </c>
      <c r="O37" s="4" t="n">
        <f aca="false">Supuestos!$C$38*Supuestos!$I$38/Supuestos!$Q$38</f>
        <v>1000000</v>
      </c>
      <c r="P37" s="4" t="n">
        <f aca="false">O37*Supuestos!$D$38*Supuestos!F$7</f>
        <v>2940000</v>
      </c>
      <c r="Q37" s="19" t="n">
        <f aca="false">IFERROR((P37-O37)/O37,"-")</f>
        <v>1.94</v>
      </c>
      <c r="R37" s="4" t="n">
        <f aca="false">Supuestos!$C$38*Supuestos!$J$38/Supuestos!$Q$38</f>
        <v>0</v>
      </c>
      <c r="S37" s="4" t="n">
        <f aca="false">R37*Supuestos!$D$38*Supuestos!G$7</f>
        <v>0</v>
      </c>
      <c r="T37" s="19" t="str">
        <f aca="false">IFERROR((S37-R37)/R37,"-")</f>
        <v>-</v>
      </c>
      <c r="U37" s="4" t="n">
        <f aca="false">Supuestos!$C$38*Supuestos!$K$38/Supuestos!$Q$38</f>
        <v>0</v>
      </c>
      <c r="V37" s="4" t="n">
        <f aca="false">U37*Supuestos!$D$38*Supuestos!H$7</f>
        <v>0</v>
      </c>
      <c r="W37" s="19" t="str">
        <f aca="false">IFERROR((V37-U37)/U37,"-")</f>
        <v>-</v>
      </c>
      <c r="X37" s="4" t="n">
        <f aca="false">Supuestos!$C$38*Supuestos!$L$38/Supuestos!$Q$38</f>
        <v>0</v>
      </c>
      <c r="Y37" s="4" t="n">
        <f aca="false">X37*Supuestos!$D$38*Supuestos!I$7</f>
        <v>0</v>
      </c>
      <c r="Z37" s="19" t="str">
        <f aca="false">IFERROR((Y37-X37)/X37,"-")</f>
        <v>-</v>
      </c>
      <c r="AA37" s="4" t="n">
        <f aca="false">Supuestos!$C$38*Supuestos!$M$38/Supuestos!$Q$38</f>
        <v>0</v>
      </c>
      <c r="AB37" s="4" t="n">
        <f aca="false">AA37*Supuestos!$D$38*Supuestos!J$7</f>
        <v>0</v>
      </c>
      <c r="AC37" s="19" t="str">
        <f aca="false">IFERROR((AB37-AA37)/AA37,"-")</f>
        <v>-</v>
      </c>
      <c r="AD37" s="4" t="n">
        <f aca="false">Supuestos!$C$38*Supuestos!$N$38/Supuestos!$Q$38</f>
        <v>0</v>
      </c>
      <c r="AE37" s="4" t="n">
        <f aca="false">AD37*Supuestos!$D$38*Supuestos!K$7</f>
        <v>0</v>
      </c>
      <c r="AF37" s="19" t="str">
        <f aca="false">IFERROR((AE37-AD37)/AD37,"-")</f>
        <v>-</v>
      </c>
      <c r="AG37" s="4" t="n">
        <f aca="false">Supuestos!$C$38*Supuestos!$O$38/Supuestos!$Q$38</f>
        <v>0</v>
      </c>
      <c r="AH37" s="4" t="n">
        <f aca="false">AG37*Supuestos!$D$38*Supuestos!L$7</f>
        <v>0</v>
      </c>
      <c r="AI37" s="19" t="str">
        <f aca="false">IFERROR((AH37-AG37)/AG37,"-")</f>
        <v>-</v>
      </c>
      <c r="AJ37" s="4" t="n">
        <f aca="false">Supuestos!$C$38*Supuestos!$P$38/Supuestos!$Q$38</f>
        <v>0</v>
      </c>
      <c r="AK37" s="4" t="n">
        <f aca="false">AJ37*Supuestos!$D$38*Supuestos!M$7</f>
        <v>0</v>
      </c>
      <c r="AL37" s="19" t="str">
        <f aca="false">IFERROR((AK37-AJ37)/AJ37,"-")</f>
        <v>-</v>
      </c>
      <c r="AM37" s="20" t="n">
        <f aca="false">C37+F37+I37+L37+O37+R37+U37+X37+AA37+AD37+AG37+AJ37</f>
        <v>3000000</v>
      </c>
      <c r="AN37" s="20" t="n">
        <f aca="false">D37+G37+J37+M37+P37+S37+V37+Y37+AB37+AE37+AH37+AK37</f>
        <v>7840000</v>
      </c>
      <c r="AO37" s="21" t="n">
        <f aca="false">IFERROR((AN37-AM37)/AM37,"-")</f>
        <v>1.61333333333333</v>
      </c>
    </row>
    <row r="38" customFormat="false" ht="15" hidden="false" customHeight="false" outlineLevel="0" collapsed="false">
      <c r="A38" s="3" t="s">
        <v>11</v>
      </c>
      <c r="B38" s="3" t="s">
        <v>68</v>
      </c>
      <c r="C38" s="4" t="n">
        <f aca="false">Supuestos!$C$39*Supuestos!$E$39/Supuestos!$Q$39</f>
        <v>0</v>
      </c>
      <c r="D38" s="4" t="n">
        <f aca="false">C38*Supuestos!$D$39*Supuestos!B$7</f>
        <v>0</v>
      </c>
      <c r="E38" s="19" t="str">
        <f aca="false">IFERROR((D38-C38)/C38,"-")</f>
        <v>-</v>
      </c>
      <c r="F38" s="4" t="n">
        <f aca="false">Supuestos!$C$39*Supuestos!$F$39/Supuestos!$Q$39</f>
        <v>0</v>
      </c>
      <c r="G38" s="4" t="n">
        <f aca="false">F38*Supuestos!$D$39*Supuestos!C$7</f>
        <v>0</v>
      </c>
      <c r="H38" s="19" t="str">
        <f aca="false">IFERROR((G38-F38)/F38,"-")</f>
        <v>-</v>
      </c>
      <c r="I38" s="4" t="n">
        <f aca="false">Supuestos!$C$39*Supuestos!$G$39/Supuestos!$Q$39</f>
        <v>0</v>
      </c>
      <c r="J38" s="4" t="n">
        <f aca="false">I38*Supuestos!$D$39*Supuestos!D$7</f>
        <v>0</v>
      </c>
      <c r="K38" s="19" t="str">
        <f aca="false">IFERROR((J38-I38)/I38,"-")</f>
        <v>-</v>
      </c>
      <c r="L38" s="4" t="n">
        <f aca="false">Supuestos!$C$39*Supuestos!$H$39/Supuestos!$Q$39</f>
        <v>0</v>
      </c>
      <c r="M38" s="4" t="n">
        <f aca="false">L38*Supuestos!$D$39*Supuestos!E$7</f>
        <v>0</v>
      </c>
      <c r="N38" s="19" t="str">
        <f aca="false">IFERROR((M38-L38)/L38,"-")</f>
        <v>-</v>
      </c>
      <c r="O38" s="4" t="n">
        <f aca="false">Supuestos!$C$39*Supuestos!$I$39/Supuestos!$Q$39</f>
        <v>1500000</v>
      </c>
      <c r="P38" s="4" t="n">
        <f aca="false">O38*Supuestos!$D$39*Supuestos!F$7</f>
        <v>4725000</v>
      </c>
      <c r="Q38" s="19" t="n">
        <f aca="false">IFERROR((P38-O38)/O38,"-")</f>
        <v>2.15</v>
      </c>
      <c r="R38" s="4" t="n">
        <f aca="false">Supuestos!$C$39*Supuestos!$J$39/Supuestos!$Q$39</f>
        <v>0</v>
      </c>
      <c r="S38" s="4" t="n">
        <f aca="false">R38*Supuestos!$D$39*Supuestos!G$7</f>
        <v>0</v>
      </c>
      <c r="T38" s="19" t="str">
        <f aca="false">IFERROR((S38-R38)/R38,"-")</f>
        <v>-</v>
      </c>
      <c r="U38" s="4" t="n">
        <f aca="false">Supuestos!$C$39*Supuestos!$K$39/Supuestos!$Q$39</f>
        <v>0</v>
      </c>
      <c r="V38" s="4" t="n">
        <f aca="false">U38*Supuestos!$D$39*Supuestos!H$7</f>
        <v>0</v>
      </c>
      <c r="W38" s="19" t="str">
        <f aca="false">IFERROR((V38-U38)/U38,"-")</f>
        <v>-</v>
      </c>
      <c r="X38" s="4" t="n">
        <f aca="false">Supuestos!$C$39*Supuestos!$L$39/Supuestos!$Q$39</f>
        <v>0</v>
      </c>
      <c r="Y38" s="4" t="n">
        <f aca="false">X38*Supuestos!$D$39*Supuestos!I$7</f>
        <v>0</v>
      </c>
      <c r="Z38" s="19" t="str">
        <f aca="false">IFERROR((Y38-X38)/X38,"-")</f>
        <v>-</v>
      </c>
      <c r="AA38" s="4" t="n">
        <f aca="false">Supuestos!$C$39*Supuestos!$M$39/Supuestos!$Q$39</f>
        <v>0</v>
      </c>
      <c r="AB38" s="4" t="n">
        <f aca="false">AA38*Supuestos!$D$39*Supuestos!J$7</f>
        <v>0</v>
      </c>
      <c r="AC38" s="19" t="str">
        <f aca="false">IFERROR((AB38-AA38)/AA38,"-")</f>
        <v>-</v>
      </c>
      <c r="AD38" s="4" t="n">
        <f aca="false">Supuestos!$C$39*Supuestos!$N$39/Supuestos!$Q$39</f>
        <v>0</v>
      </c>
      <c r="AE38" s="4" t="n">
        <f aca="false">AD38*Supuestos!$D$39*Supuestos!K$7</f>
        <v>0</v>
      </c>
      <c r="AF38" s="19" t="str">
        <f aca="false">IFERROR((AE38-AD38)/AD38,"-")</f>
        <v>-</v>
      </c>
      <c r="AG38" s="4" t="n">
        <f aca="false">Supuestos!$C$39*Supuestos!$O$39/Supuestos!$Q$39</f>
        <v>0</v>
      </c>
      <c r="AH38" s="4" t="n">
        <f aca="false">AG38*Supuestos!$D$39*Supuestos!L$7</f>
        <v>0</v>
      </c>
      <c r="AI38" s="19" t="str">
        <f aca="false">IFERROR((AH38-AG38)/AG38,"-")</f>
        <v>-</v>
      </c>
      <c r="AJ38" s="4" t="n">
        <f aca="false">Supuestos!$C$39*Supuestos!$P$39/Supuestos!$Q$39</f>
        <v>0</v>
      </c>
      <c r="AK38" s="4" t="n">
        <f aca="false">AJ38*Supuestos!$D$39*Supuestos!M$7</f>
        <v>0</v>
      </c>
      <c r="AL38" s="19" t="str">
        <f aca="false">IFERROR((AK38-AJ38)/AJ38,"-")</f>
        <v>-</v>
      </c>
      <c r="AM38" s="20" t="n">
        <f aca="false">C38+F38+I38+L38+O38+R38+U38+X38+AA38+AD38+AG38+AJ38</f>
        <v>1500000</v>
      </c>
      <c r="AN38" s="20" t="n">
        <f aca="false">D38+G38+J38+M38+P38+S38+V38+Y38+AB38+AE38+AH38+AK38</f>
        <v>4725000</v>
      </c>
      <c r="AO38" s="21" t="n">
        <f aca="false">IFERROR((AN38-AM38)/AM38,"-")</f>
        <v>2.15</v>
      </c>
    </row>
    <row r="39" customFormat="false" ht="15" hidden="false" customHeight="false" outlineLevel="0" collapsed="false">
      <c r="A39" s="3" t="s">
        <v>11</v>
      </c>
      <c r="B39" s="3" t="s">
        <v>69</v>
      </c>
      <c r="C39" s="4" t="n">
        <f aca="false">Supuestos!$C$40*Supuestos!$E$40/Supuestos!$Q$40</f>
        <v>0</v>
      </c>
      <c r="D39" s="4" t="n">
        <f aca="false">C39*Supuestos!$D$40*Supuestos!B$7</f>
        <v>0</v>
      </c>
      <c r="E39" s="19" t="str">
        <f aca="false">IFERROR((D39-C39)/C39,"-")</f>
        <v>-</v>
      </c>
      <c r="F39" s="4" t="n">
        <f aca="false">Supuestos!$C$40*Supuestos!$F$40/Supuestos!$Q$40</f>
        <v>0</v>
      </c>
      <c r="G39" s="4" t="n">
        <f aca="false">F39*Supuestos!$D$40*Supuestos!C$7</f>
        <v>0</v>
      </c>
      <c r="H39" s="19" t="str">
        <f aca="false">IFERROR((G39-F39)/F39,"-")</f>
        <v>-</v>
      </c>
      <c r="I39" s="4" t="n">
        <f aca="false">Supuestos!$C$40*Supuestos!$G$40/Supuestos!$Q$40</f>
        <v>0</v>
      </c>
      <c r="J39" s="4" t="n">
        <f aca="false">I39*Supuestos!$D$40*Supuestos!D$7</f>
        <v>0</v>
      </c>
      <c r="K39" s="19" t="str">
        <f aca="false">IFERROR((J39-I39)/I39,"-")</f>
        <v>-</v>
      </c>
      <c r="L39" s="4" t="n">
        <f aca="false">Supuestos!$C$40*Supuestos!$H$40/Supuestos!$Q$40</f>
        <v>0</v>
      </c>
      <c r="M39" s="4" t="n">
        <f aca="false">L39*Supuestos!$D$40*Supuestos!E$7</f>
        <v>0</v>
      </c>
      <c r="N39" s="19" t="str">
        <f aca="false">IFERROR((M39-L39)/L39,"-")</f>
        <v>-</v>
      </c>
      <c r="O39" s="4" t="n">
        <f aca="false">Supuestos!$C$40*Supuestos!$I$40/Supuestos!$Q$40</f>
        <v>0</v>
      </c>
      <c r="P39" s="4" t="n">
        <f aca="false">O39*Supuestos!$D$40*Supuestos!F$7</f>
        <v>0</v>
      </c>
      <c r="Q39" s="19" t="str">
        <f aca="false">IFERROR((P39-O39)/O39,"-")</f>
        <v>-</v>
      </c>
      <c r="R39" s="4" t="n">
        <f aca="false">Supuestos!$C$40*Supuestos!$J$40/Supuestos!$Q$40</f>
        <v>0</v>
      </c>
      <c r="S39" s="4" t="n">
        <f aca="false">R39*Supuestos!$D$40*Supuestos!G$7</f>
        <v>0</v>
      </c>
      <c r="T39" s="19" t="str">
        <f aca="false">IFERROR((S39-R39)/R39,"-")</f>
        <v>-</v>
      </c>
      <c r="U39" s="4" t="n">
        <f aca="false">Supuestos!$C$40*Supuestos!$K$40/Supuestos!$Q$40</f>
        <v>0</v>
      </c>
      <c r="V39" s="4" t="n">
        <f aca="false">U39*Supuestos!$D$40*Supuestos!H$7</f>
        <v>0</v>
      </c>
      <c r="W39" s="19" t="str">
        <f aca="false">IFERROR((V39-U39)/U39,"-")</f>
        <v>-</v>
      </c>
      <c r="X39" s="4" t="n">
        <f aca="false">Supuestos!$C$40*Supuestos!$L$40/Supuestos!$Q$40</f>
        <v>1250000</v>
      </c>
      <c r="Y39" s="4" t="n">
        <f aca="false">X39*Supuestos!$D$40*Supuestos!I$7</f>
        <v>3281250</v>
      </c>
      <c r="Z39" s="19" t="n">
        <f aca="false">IFERROR((Y39-X39)/X39,"-")</f>
        <v>1.625</v>
      </c>
      <c r="AA39" s="4" t="n">
        <f aca="false">Supuestos!$C$40*Supuestos!$M$40/Supuestos!$Q$40</f>
        <v>1250000</v>
      </c>
      <c r="AB39" s="4" t="n">
        <f aca="false">AA39*Supuestos!$D$40*Supuestos!J$7</f>
        <v>3437500</v>
      </c>
      <c r="AC39" s="19" t="n">
        <f aca="false">IFERROR((AB39-AA39)/AA39,"-")</f>
        <v>1.75</v>
      </c>
      <c r="AD39" s="4" t="n">
        <f aca="false">Supuestos!$C$40*Supuestos!$N$40/Supuestos!$Q$40</f>
        <v>0</v>
      </c>
      <c r="AE39" s="4" t="n">
        <f aca="false">AD39*Supuestos!$D$40*Supuestos!K$7</f>
        <v>0</v>
      </c>
      <c r="AF39" s="19" t="str">
        <f aca="false">IFERROR((AE39-AD39)/AD39,"-")</f>
        <v>-</v>
      </c>
      <c r="AG39" s="4" t="n">
        <f aca="false">Supuestos!$C$40*Supuestos!$O$40/Supuestos!$Q$40</f>
        <v>0</v>
      </c>
      <c r="AH39" s="4" t="n">
        <f aca="false">AG39*Supuestos!$D$40*Supuestos!L$7</f>
        <v>0</v>
      </c>
      <c r="AI39" s="19" t="str">
        <f aca="false">IFERROR((AH39-AG39)/AG39,"-")</f>
        <v>-</v>
      </c>
      <c r="AJ39" s="4" t="n">
        <f aca="false">Supuestos!$C$40*Supuestos!$P$40/Supuestos!$Q$40</f>
        <v>0</v>
      </c>
      <c r="AK39" s="4" t="n">
        <f aca="false">AJ39*Supuestos!$D$40*Supuestos!M$7</f>
        <v>0</v>
      </c>
      <c r="AL39" s="19" t="str">
        <f aca="false">IFERROR((AK39-AJ39)/AJ39,"-")</f>
        <v>-</v>
      </c>
      <c r="AM39" s="20" t="n">
        <f aca="false">C39+F39+I39+L39+O39+R39+U39+X39+AA39+AD39+AG39+AJ39</f>
        <v>2500000</v>
      </c>
      <c r="AN39" s="20" t="n">
        <f aca="false">D39+G39+J39+M39+P39+S39+V39+Y39+AB39+AE39+AH39+AK39</f>
        <v>6718750</v>
      </c>
      <c r="AO39" s="21" t="n">
        <f aca="false">IFERROR((AN39-AM39)/AM39,"-")</f>
        <v>1.6875</v>
      </c>
    </row>
    <row r="40" customFormat="false" ht="15" hidden="false" customHeight="false" outlineLevel="0" collapsed="false">
      <c r="A40" s="3" t="s">
        <v>11</v>
      </c>
      <c r="B40" s="3" t="s">
        <v>70</v>
      </c>
      <c r="C40" s="4" t="n">
        <f aca="false">Supuestos!$C$41*Supuestos!$E$41/Supuestos!$Q$41</f>
        <v>0</v>
      </c>
      <c r="D40" s="4" t="n">
        <f aca="false">C40*Supuestos!$D$41*Supuestos!B$7</f>
        <v>0</v>
      </c>
      <c r="E40" s="19" t="str">
        <f aca="false">IFERROR((D40-C40)/C40,"-")</f>
        <v>-</v>
      </c>
      <c r="F40" s="4" t="n">
        <f aca="false">Supuestos!$C$41*Supuestos!$F$41/Supuestos!$Q$41</f>
        <v>0</v>
      </c>
      <c r="G40" s="4" t="n">
        <f aca="false">F40*Supuestos!$D$41*Supuestos!C$7</f>
        <v>0</v>
      </c>
      <c r="H40" s="19" t="str">
        <f aca="false">IFERROR((G40-F40)/F40,"-")</f>
        <v>-</v>
      </c>
      <c r="I40" s="4" t="n">
        <f aca="false">Supuestos!$C$41*Supuestos!$G$41/Supuestos!$Q$41</f>
        <v>0</v>
      </c>
      <c r="J40" s="4" t="n">
        <f aca="false">I40*Supuestos!$D$41*Supuestos!D$7</f>
        <v>0</v>
      </c>
      <c r="K40" s="19" t="str">
        <f aca="false">IFERROR((J40-I40)/I40,"-")</f>
        <v>-</v>
      </c>
      <c r="L40" s="4" t="n">
        <f aca="false">Supuestos!$C$41*Supuestos!$H$41/Supuestos!$Q$41</f>
        <v>0</v>
      </c>
      <c r="M40" s="4" t="n">
        <f aca="false">L40*Supuestos!$D$41*Supuestos!E$7</f>
        <v>0</v>
      </c>
      <c r="N40" s="19" t="str">
        <f aca="false">IFERROR((M40-L40)/L40,"-")</f>
        <v>-</v>
      </c>
      <c r="O40" s="4" t="n">
        <f aca="false">Supuestos!$C$41*Supuestos!$I$41/Supuestos!$Q$41</f>
        <v>0</v>
      </c>
      <c r="P40" s="4" t="n">
        <f aca="false">O40*Supuestos!$D$41*Supuestos!F$7</f>
        <v>0</v>
      </c>
      <c r="Q40" s="19" t="str">
        <f aca="false">IFERROR((P40-O40)/O40,"-")</f>
        <v>-</v>
      </c>
      <c r="R40" s="4" t="n">
        <f aca="false">Supuestos!$C$41*Supuestos!$J$41/Supuestos!$Q$41</f>
        <v>0</v>
      </c>
      <c r="S40" s="4" t="n">
        <f aca="false">R40*Supuestos!$D$41*Supuestos!G$7</f>
        <v>0</v>
      </c>
      <c r="T40" s="19" t="str">
        <f aca="false">IFERROR((S40-R40)/R40,"-")</f>
        <v>-</v>
      </c>
      <c r="U40" s="4" t="n">
        <f aca="false">Supuestos!$C$41*Supuestos!$K$41/Supuestos!$Q$41</f>
        <v>0</v>
      </c>
      <c r="V40" s="4" t="n">
        <f aca="false">U40*Supuestos!$D$41*Supuestos!H$7</f>
        <v>0</v>
      </c>
      <c r="W40" s="19" t="str">
        <f aca="false">IFERROR((V40-U40)/U40,"-")</f>
        <v>-</v>
      </c>
      <c r="X40" s="4" t="n">
        <f aca="false">Supuestos!$C$41*Supuestos!$L$41/Supuestos!$Q$41</f>
        <v>0</v>
      </c>
      <c r="Y40" s="4" t="n">
        <f aca="false">X40*Supuestos!$D$41*Supuestos!I$7</f>
        <v>0</v>
      </c>
      <c r="Z40" s="19" t="str">
        <f aca="false">IFERROR((Y40-X40)/X40,"-")</f>
        <v>-</v>
      </c>
      <c r="AA40" s="4" t="n">
        <f aca="false">Supuestos!$C$41*Supuestos!$M$41/Supuestos!$Q$41</f>
        <v>0</v>
      </c>
      <c r="AB40" s="4" t="n">
        <f aca="false">AA40*Supuestos!$D$41*Supuestos!J$7</f>
        <v>0</v>
      </c>
      <c r="AC40" s="19" t="str">
        <f aca="false">IFERROR((AB40-AA40)/AA40,"-")</f>
        <v>-</v>
      </c>
      <c r="AD40" s="4" t="n">
        <f aca="false">Supuestos!$C$41*Supuestos!$N$41/Supuestos!$Q$41</f>
        <v>900000</v>
      </c>
      <c r="AE40" s="4" t="n">
        <f aca="false">AD40*Supuestos!$D$41*Supuestos!K$7</f>
        <v>1782000</v>
      </c>
      <c r="AF40" s="19" t="n">
        <f aca="false">IFERROR((AE40-AD40)/AD40,"-")</f>
        <v>0.98</v>
      </c>
      <c r="AG40" s="4" t="n">
        <f aca="false">Supuestos!$C$41*Supuestos!$O$41/Supuestos!$Q$41</f>
        <v>900000</v>
      </c>
      <c r="AH40" s="4" t="n">
        <f aca="false">AG40*Supuestos!$D$41*Supuestos!L$7</f>
        <v>1863000</v>
      </c>
      <c r="AI40" s="19" t="n">
        <f aca="false">IFERROR((AH40-AG40)/AG40,"-")</f>
        <v>1.07</v>
      </c>
      <c r="AJ40" s="4" t="n">
        <f aca="false">Supuestos!$C$41*Supuestos!$P$41/Supuestos!$Q$41</f>
        <v>0</v>
      </c>
      <c r="AK40" s="4" t="n">
        <f aca="false">AJ40*Supuestos!$D$41*Supuestos!M$7</f>
        <v>0</v>
      </c>
      <c r="AL40" s="19" t="str">
        <f aca="false">IFERROR((AK40-AJ40)/AJ40,"-")</f>
        <v>-</v>
      </c>
      <c r="AM40" s="20" t="n">
        <f aca="false">C40+F40+I40+L40+O40+R40+U40+X40+AA40+AD40+AG40+AJ40</f>
        <v>1800000</v>
      </c>
      <c r="AN40" s="20" t="n">
        <f aca="false">D40+G40+J40+M40+P40+S40+V40+Y40+AB40+AE40+AH40+AK40</f>
        <v>3645000</v>
      </c>
      <c r="AO40" s="21" t="n">
        <f aca="false">IFERROR((AN40-AM40)/AM40,"-")</f>
        <v>1.025</v>
      </c>
    </row>
    <row r="41" customFormat="false" ht="15.75" hidden="false" customHeight="true" outlineLevel="0" collapsed="false">
      <c r="A41" s="8" t="s">
        <v>71</v>
      </c>
      <c r="B41" s="8"/>
      <c r="C41" s="9" t="n">
        <f aca="false">C42</f>
        <v>0</v>
      </c>
      <c r="D41" s="9" t="n">
        <f aca="false">D42</f>
        <v>0</v>
      </c>
      <c r="E41" s="18" t="str">
        <f aca="false">IFERROR((D41-C41)/C41,"-")</f>
        <v>-</v>
      </c>
      <c r="F41" s="9" t="n">
        <f aca="false">F42</f>
        <v>0</v>
      </c>
      <c r="G41" s="9" t="n">
        <f aca="false">G42</f>
        <v>0</v>
      </c>
      <c r="H41" s="18" t="str">
        <f aca="false">IFERROR((G41-F41)/F41,"-")</f>
        <v>-</v>
      </c>
      <c r="I41" s="9" t="n">
        <f aca="false">I42</f>
        <v>0</v>
      </c>
      <c r="J41" s="9" t="n">
        <f aca="false">J42</f>
        <v>0</v>
      </c>
      <c r="K41" s="18" t="str">
        <f aca="false">IFERROR((J41-I41)/I41,"-")</f>
        <v>-</v>
      </c>
      <c r="L41" s="9" t="n">
        <f aca="false">L42</f>
        <v>0</v>
      </c>
      <c r="M41" s="9" t="n">
        <f aca="false">M42</f>
        <v>0</v>
      </c>
      <c r="N41" s="18" t="str">
        <f aca="false">IFERROR((M41-L41)/L41,"-")</f>
        <v>-</v>
      </c>
      <c r="O41" s="9" t="n">
        <f aca="false">O42</f>
        <v>0</v>
      </c>
      <c r="P41" s="9" t="n">
        <f aca="false">P42</f>
        <v>0</v>
      </c>
      <c r="Q41" s="18" t="str">
        <f aca="false">IFERROR((P41-O41)/O41,"-")</f>
        <v>-</v>
      </c>
      <c r="R41" s="9" t="n">
        <f aca="false">R42</f>
        <v>1000000</v>
      </c>
      <c r="S41" s="9" t="n">
        <f aca="false">S42</f>
        <v>2850000</v>
      </c>
      <c r="T41" s="18" t="n">
        <f aca="false">IFERROR((S41-R41)/R41,"-")</f>
        <v>1.85</v>
      </c>
      <c r="U41" s="9" t="n">
        <f aca="false">U42</f>
        <v>1000000</v>
      </c>
      <c r="V41" s="9" t="n">
        <f aca="false">V42</f>
        <v>3000000</v>
      </c>
      <c r="W41" s="18" t="n">
        <f aca="false">IFERROR((V41-U41)/U41,"-")</f>
        <v>2</v>
      </c>
      <c r="X41" s="9" t="n">
        <f aca="false">X42</f>
        <v>1000000</v>
      </c>
      <c r="Y41" s="9" t="n">
        <f aca="false">Y42</f>
        <v>3150000</v>
      </c>
      <c r="Z41" s="18" t="n">
        <f aca="false">IFERROR((Y41-X41)/X41,"-")</f>
        <v>2.15</v>
      </c>
      <c r="AA41" s="9" t="n">
        <f aca="false">AA42</f>
        <v>0</v>
      </c>
      <c r="AB41" s="9" t="n">
        <f aca="false">AB42</f>
        <v>0</v>
      </c>
      <c r="AC41" s="18" t="str">
        <f aca="false">IFERROR((AB41-AA41)/AA41,"-")</f>
        <v>-</v>
      </c>
      <c r="AD41" s="9" t="n">
        <f aca="false">AD42</f>
        <v>0</v>
      </c>
      <c r="AE41" s="9" t="n">
        <f aca="false">AE42</f>
        <v>0</v>
      </c>
      <c r="AF41" s="18" t="str">
        <f aca="false">IFERROR((AE41-AD41)/AD41,"-")</f>
        <v>-</v>
      </c>
      <c r="AG41" s="9" t="n">
        <f aca="false">AG42</f>
        <v>0</v>
      </c>
      <c r="AH41" s="9" t="n">
        <f aca="false">AH42</f>
        <v>0</v>
      </c>
      <c r="AI41" s="18" t="str">
        <f aca="false">IFERROR((AH41-AG41)/AG41,"-")</f>
        <v>-</v>
      </c>
      <c r="AJ41" s="9" t="n">
        <f aca="false">AJ42</f>
        <v>0</v>
      </c>
      <c r="AK41" s="9" t="n">
        <f aca="false">AK42</f>
        <v>0</v>
      </c>
      <c r="AL41" s="18" t="str">
        <f aca="false">IFERROR((AK41-AJ41)/AJ41,"-")</f>
        <v>-</v>
      </c>
      <c r="AM41" s="9" t="n">
        <f aca="false">C41+F41+I41+L41+O41+R41+U41+X41+AA41+AD41+AG41+AJ41</f>
        <v>3000000</v>
      </c>
      <c r="AN41" s="9" t="n">
        <f aca="false">D41+G41+J41+M41+P41+S41+V41+Y41+AB41+AE41+AH41+AK41</f>
        <v>9000000</v>
      </c>
      <c r="AO41" s="18" t="n">
        <f aca="false">IFERROR((AN41-AM41)/AM41,"-")</f>
        <v>2</v>
      </c>
    </row>
    <row r="42" customFormat="false" ht="15" hidden="false" customHeight="false" outlineLevel="0" collapsed="false">
      <c r="A42" s="3" t="s">
        <v>12</v>
      </c>
      <c r="B42" s="3" t="s">
        <v>72</v>
      </c>
      <c r="C42" s="4" t="n">
        <f aca="false">Supuestos!$C$42*Supuestos!$E$42/Supuestos!$Q$42</f>
        <v>0</v>
      </c>
      <c r="D42" s="4" t="n">
        <f aca="false">C42*Supuestos!$D$42*Supuestos!B$7</f>
        <v>0</v>
      </c>
      <c r="E42" s="19" t="str">
        <f aca="false">IFERROR((D42-C42)/C42,"-")</f>
        <v>-</v>
      </c>
      <c r="F42" s="4" t="n">
        <f aca="false">Supuestos!$C$42*Supuestos!$F$42/Supuestos!$Q$42</f>
        <v>0</v>
      </c>
      <c r="G42" s="4" t="n">
        <f aca="false">F42*Supuestos!$D$42*Supuestos!C$7</f>
        <v>0</v>
      </c>
      <c r="H42" s="19" t="str">
        <f aca="false">IFERROR((G42-F42)/F42,"-")</f>
        <v>-</v>
      </c>
      <c r="I42" s="4" t="n">
        <f aca="false">Supuestos!$C$42*Supuestos!$G$42/Supuestos!$Q$42</f>
        <v>0</v>
      </c>
      <c r="J42" s="4" t="n">
        <f aca="false">I42*Supuestos!$D$42*Supuestos!D$7</f>
        <v>0</v>
      </c>
      <c r="K42" s="19" t="str">
        <f aca="false">IFERROR((J42-I42)/I42,"-")</f>
        <v>-</v>
      </c>
      <c r="L42" s="4" t="n">
        <f aca="false">Supuestos!$C$42*Supuestos!$H$42/Supuestos!$Q$42</f>
        <v>0</v>
      </c>
      <c r="M42" s="4" t="n">
        <f aca="false">L42*Supuestos!$D$42*Supuestos!E$7</f>
        <v>0</v>
      </c>
      <c r="N42" s="19" t="str">
        <f aca="false">IFERROR((M42-L42)/L42,"-")</f>
        <v>-</v>
      </c>
      <c r="O42" s="4" t="n">
        <f aca="false">Supuestos!$C$42*Supuestos!$I$42/Supuestos!$Q$42</f>
        <v>0</v>
      </c>
      <c r="P42" s="4" t="n">
        <f aca="false">O42*Supuestos!$D$42*Supuestos!F$7</f>
        <v>0</v>
      </c>
      <c r="Q42" s="19" t="str">
        <f aca="false">IFERROR((P42-O42)/O42,"-")</f>
        <v>-</v>
      </c>
      <c r="R42" s="4" t="n">
        <f aca="false">Supuestos!$C$42*Supuestos!$J$42/Supuestos!$Q$42</f>
        <v>1000000</v>
      </c>
      <c r="S42" s="4" t="n">
        <f aca="false">R42*Supuestos!$D$42*Supuestos!G$7</f>
        <v>2850000</v>
      </c>
      <c r="T42" s="19" t="n">
        <f aca="false">IFERROR((S42-R42)/R42,"-")</f>
        <v>1.85</v>
      </c>
      <c r="U42" s="4" t="n">
        <f aca="false">Supuestos!$C$42*Supuestos!$K$42/Supuestos!$Q$42</f>
        <v>1000000</v>
      </c>
      <c r="V42" s="4" t="n">
        <f aca="false">U42*Supuestos!$D$42*Supuestos!H$7</f>
        <v>3000000</v>
      </c>
      <c r="W42" s="19" t="n">
        <f aca="false">IFERROR((V42-U42)/U42,"-")</f>
        <v>2</v>
      </c>
      <c r="X42" s="4" t="n">
        <f aca="false">Supuestos!$C$42*Supuestos!$L$42/Supuestos!$Q$42</f>
        <v>1000000</v>
      </c>
      <c r="Y42" s="4" t="n">
        <f aca="false">X42*Supuestos!$D$42*Supuestos!I$7</f>
        <v>3150000</v>
      </c>
      <c r="Z42" s="19" t="n">
        <f aca="false">IFERROR((Y42-X42)/X42,"-")</f>
        <v>2.15</v>
      </c>
      <c r="AA42" s="4" t="n">
        <f aca="false">Supuestos!$C$42*Supuestos!$M$42/Supuestos!$Q$42</f>
        <v>0</v>
      </c>
      <c r="AB42" s="4" t="n">
        <f aca="false">AA42*Supuestos!$D$42*Supuestos!J$7</f>
        <v>0</v>
      </c>
      <c r="AC42" s="19" t="str">
        <f aca="false">IFERROR((AB42-AA42)/AA42,"-")</f>
        <v>-</v>
      </c>
      <c r="AD42" s="4" t="n">
        <f aca="false">Supuestos!$C$42*Supuestos!$N$42/Supuestos!$Q$42</f>
        <v>0</v>
      </c>
      <c r="AE42" s="4" t="n">
        <f aca="false">AD42*Supuestos!$D$42*Supuestos!K$7</f>
        <v>0</v>
      </c>
      <c r="AF42" s="19" t="str">
        <f aca="false">IFERROR((AE42-AD42)/AD42,"-")</f>
        <v>-</v>
      </c>
      <c r="AG42" s="4" t="n">
        <f aca="false">Supuestos!$C$42*Supuestos!$O$42/Supuestos!$Q$42</f>
        <v>0</v>
      </c>
      <c r="AH42" s="4" t="n">
        <f aca="false">AG42*Supuestos!$D$42*Supuestos!L$7</f>
        <v>0</v>
      </c>
      <c r="AI42" s="19" t="str">
        <f aca="false">IFERROR((AH42-AG42)/AG42,"-")</f>
        <v>-</v>
      </c>
      <c r="AJ42" s="4" t="n">
        <f aca="false">Supuestos!$C$42*Supuestos!$P$42/Supuestos!$Q$42</f>
        <v>0</v>
      </c>
      <c r="AK42" s="4" t="n">
        <f aca="false">AJ42*Supuestos!$D$42*Supuestos!M$7</f>
        <v>0</v>
      </c>
      <c r="AL42" s="19" t="str">
        <f aca="false">IFERROR((AK42-AJ42)/AJ42,"-")</f>
        <v>-</v>
      </c>
      <c r="AM42" s="20" t="n">
        <f aca="false">C42+F42+I42+L42+O42+R42+U42+X42+AA42+AD42+AG42+AJ42</f>
        <v>3000000</v>
      </c>
      <c r="AN42" s="20" t="n">
        <f aca="false">D42+G42+J42+M42+P42+S42+V42+Y42+AB42+AE42+AH42+AK42</f>
        <v>9000000</v>
      </c>
      <c r="AO42" s="21" t="n">
        <f aca="false">IFERROR((AN42-AM42)/AM42,"-")</f>
        <v>2</v>
      </c>
    </row>
    <row r="43" customFormat="false" ht="15.75" hidden="false" customHeight="true" outlineLevel="0" collapsed="false">
      <c r="A43" s="8" t="s">
        <v>73</v>
      </c>
      <c r="B43" s="8"/>
      <c r="C43" s="9" t="n">
        <f aca="false">C44+C45</f>
        <v>0</v>
      </c>
      <c r="D43" s="9" t="n">
        <f aca="false">D44+D45</f>
        <v>0</v>
      </c>
      <c r="E43" s="18" t="str">
        <f aca="false">IFERROR((D43-C43)/C43,"-")</f>
        <v>-</v>
      </c>
      <c r="F43" s="9" t="n">
        <f aca="false">F44+F45</f>
        <v>0</v>
      </c>
      <c r="G43" s="9" t="n">
        <f aca="false">G44+G45</f>
        <v>0</v>
      </c>
      <c r="H43" s="18" t="str">
        <f aca="false">IFERROR((G43-F43)/F43,"-")</f>
        <v>-</v>
      </c>
      <c r="I43" s="9" t="n">
        <f aca="false">I44+I45</f>
        <v>750000</v>
      </c>
      <c r="J43" s="9" t="n">
        <f aca="false">J44+J45</f>
        <v>1485000</v>
      </c>
      <c r="K43" s="18" t="n">
        <f aca="false">IFERROR((J43-I43)/I43,"-")</f>
        <v>0.98</v>
      </c>
      <c r="L43" s="9" t="n">
        <f aca="false">L44+L45</f>
        <v>750000</v>
      </c>
      <c r="M43" s="9" t="n">
        <f aca="false">M44+M45</f>
        <v>1402500</v>
      </c>
      <c r="N43" s="18" t="n">
        <f aca="false">IFERROR((M43-L43)/L43,"-")</f>
        <v>0.87</v>
      </c>
      <c r="O43" s="9" t="n">
        <f aca="false">O44+O45</f>
        <v>0</v>
      </c>
      <c r="P43" s="9" t="n">
        <f aca="false">P44+P45</f>
        <v>0</v>
      </c>
      <c r="Q43" s="18" t="str">
        <f aca="false">IFERROR((P43-O43)/O43,"-")</f>
        <v>-</v>
      </c>
      <c r="R43" s="9" t="n">
        <f aca="false">R44+R45</f>
        <v>900000</v>
      </c>
      <c r="S43" s="9" t="n">
        <f aca="false">S44+S45</f>
        <v>2052000</v>
      </c>
      <c r="T43" s="18" t="n">
        <f aca="false">IFERROR((S43-R43)/R43,"-")</f>
        <v>1.28</v>
      </c>
      <c r="U43" s="9" t="n">
        <f aca="false">U44+U45</f>
        <v>900000</v>
      </c>
      <c r="V43" s="9" t="n">
        <f aca="false">V44+V45</f>
        <v>2160000</v>
      </c>
      <c r="W43" s="18" t="n">
        <f aca="false">IFERROR((V43-U43)/U43,"-")</f>
        <v>1.4</v>
      </c>
      <c r="X43" s="9" t="n">
        <f aca="false">X44+X45</f>
        <v>0</v>
      </c>
      <c r="Y43" s="9" t="n">
        <f aca="false">Y44+Y45</f>
        <v>0</v>
      </c>
      <c r="Z43" s="18" t="str">
        <f aca="false">IFERROR((Y43-X43)/X43,"-")</f>
        <v>-</v>
      </c>
      <c r="AA43" s="9" t="n">
        <f aca="false">AA44+AA45</f>
        <v>0</v>
      </c>
      <c r="AB43" s="9" t="n">
        <f aca="false">AB44+AB45</f>
        <v>0</v>
      </c>
      <c r="AC43" s="18" t="str">
        <f aca="false">IFERROR((AB43-AA43)/AA43,"-")</f>
        <v>-</v>
      </c>
      <c r="AD43" s="9" t="n">
        <f aca="false">AD44+AD45</f>
        <v>0</v>
      </c>
      <c r="AE43" s="9" t="n">
        <f aca="false">AE44+AE45</f>
        <v>0</v>
      </c>
      <c r="AF43" s="18" t="str">
        <f aca="false">IFERROR((AE43-AD43)/AD43,"-")</f>
        <v>-</v>
      </c>
      <c r="AG43" s="9" t="n">
        <f aca="false">AG44+AG45</f>
        <v>0</v>
      </c>
      <c r="AH43" s="9" t="n">
        <f aca="false">AH44+AH45</f>
        <v>0</v>
      </c>
      <c r="AI43" s="18" t="str">
        <f aca="false">IFERROR((AH43-AG43)/AG43,"-")</f>
        <v>-</v>
      </c>
      <c r="AJ43" s="9" t="n">
        <f aca="false">AJ44+AJ45</f>
        <v>0</v>
      </c>
      <c r="AK43" s="9" t="n">
        <f aca="false">AK44+AK45</f>
        <v>0</v>
      </c>
      <c r="AL43" s="18" t="str">
        <f aca="false">IFERROR((AK43-AJ43)/AJ43,"-")</f>
        <v>-</v>
      </c>
      <c r="AM43" s="9" t="n">
        <f aca="false">C43+F43+I43+L43+O43+R43+U43+X43+AA43+AD43+AG43+AJ43</f>
        <v>3300000</v>
      </c>
      <c r="AN43" s="9" t="n">
        <f aca="false">D43+G43+J43+M43+P43+S43+V43+Y43+AB43+AE43+AH43+AK43</f>
        <v>7099500</v>
      </c>
      <c r="AO43" s="18" t="n">
        <f aca="false">IFERROR((AN43-AM43)/AM43,"-")</f>
        <v>1.15136363636364</v>
      </c>
    </row>
    <row r="44" customFormat="false" ht="15" hidden="false" customHeight="false" outlineLevel="0" collapsed="false">
      <c r="A44" s="3" t="s">
        <v>13</v>
      </c>
      <c r="B44" s="3" t="s">
        <v>74</v>
      </c>
      <c r="C44" s="4" t="n">
        <f aca="false">Supuestos!$C$43*Supuestos!$E$43/Supuestos!$Q$43</f>
        <v>0</v>
      </c>
      <c r="D44" s="4" t="n">
        <f aca="false">C44*Supuestos!$D$43*Supuestos!B$7</f>
        <v>0</v>
      </c>
      <c r="E44" s="19" t="str">
        <f aca="false">IFERROR((D44-C44)/C44,"-")</f>
        <v>-</v>
      </c>
      <c r="F44" s="4" t="n">
        <f aca="false">Supuestos!$C$43*Supuestos!$F$43/Supuestos!$Q$43</f>
        <v>0</v>
      </c>
      <c r="G44" s="4" t="n">
        <f aca="false">F44*Supuestos!$D$43*Supuestos!C$7</f>
        <v>0</v>
      </c>
      <c r="H44" s="19" t="str">
        <f aca="false">IFERROR((G44-F44)/F44,"-")</f>
        <v>-</v>
      </c>
      <c r="I44" s="4" t="n">
        <f aca="false">Supuestos!$C$43*Supuestos!$G$43/Supuestos!$Q$43</f>
        <v>750000</v>
      </c>
      <c r="J44" s="4" t="n">
        <f aca="false">I44*Supuestos!$D$43*Supuestos!D$7</f>
        <v>1485000</v>
      </c>
      <c r="K44" s="19" t="n">
        <f aca="false">IFERROR((J44-I44)/I44,"-")</f>
        <v>0.98</v>
      </c>
      <c r="L44" s="4" t="n">
        <f aca="false">Supuestos!$C$43*Supuestos!$H$43/Supuestos!$Q$43</f>
        <v>750000</v>
      </c>
      <c r="M44" s="4" t="n">
        <f aca="false">L44*Supuestos!$D$43*Supuestos!E$7</f>
        <v>1402500</v>
      </c>
      <c r="N44" s="19" t="n">
        <f aca="false">IFERROR((M44-L44)/L44,"-")</f>
        <v>0.87</v>
      </c>
      <c r="O44" s="4" t="n">
        <f aca="false">Supuestos!$C$43*Supuestos!$I$43/Supuestos!$Q$43</f>
        <v>0</v>
      </c>
      <c r="P44" s="4" t="n">
        <f aca="false">O44*Supuestos!$D$43*Supuestos!F$7</f>
        <v>0</v>
      </c>
      <c r="Q44" s="19" t="str">
        <f aca="false">IFERROR((P44-O44)/O44,"-")</f>
        <v>-</v>
      </c>
      <c r="R44" s="4" t="n">
        <f aca="false">Supuestos!$C$43*Supuestos!$J$43/Supuestos!$Q$43</f>
        <v>0</v>
      </c>
      <c r="S44" s="4" t="n">
        <f aca="false">R44*Supuestos!$D$43*Supuestos!G$7</f>
        <v>0</v>
      </c>
      <c r="T44" s="19" t="str">
        <f aca="false">IFERROR((S44-R44)/R44,"-")</f>
        <v>-</v>
      </c>
      <c r="U44" s="4" t="n">
        <f aca="false">Supuestos!$C$43*Supuestos!$K$43/Supuestos!$Q$43</f>
        <v>0</v>
      </c>
      <c r="V44" s="4" t="n">
        <f aca="false">U44*Supuestos!$D$43*Supuestos!H$7</f>
        <v>0</v>
      </c>
      <c r="W44" s="19" t="str">
        <f aca="false">IFERROR((V44-U44)/U44,"-")</f>
        <v>-</v>
      </c>
      <c r="X44" s="4" t="n">
        <f aca="false">Supuestos!$C$43*Supuestos!$L$43/Supuestos!$Q$43</f>
        <v>0</v>
      </c>
      <c r="Y44" s="4" t="n">
        <f aca="false">X44*Supuestos!$D$43*Supuestos!I$7</f>
        <v>0</v>
      </c>
      <c r="Z44" s="19" t="str">
        <f aca="false">IFERROR((Y44-X44)/X44,"-")</f>
        <v>-</v>
      </c>
      <c r="AA44" s="4" t="n">
        <f aca="false">Supuestos!$C$43*Supuestos!$M$43/Supuestos!$Q$43</f>
        <v>0</v>
      </c>
      <c r="AB44" s="4" t="n">
        <f aca="false">AA44*Supuestos!$D$43*Supuestos!J$7</f>
        <v>0</v>
      </c>
      <c r="AC44" s="19" t="str">
        <f aca="false">IFERROR((AB44-AA44)/AA44,"-")</f>
        <v>-</v>
      </c>
      <c r="AD44" s="4" t="n">
        <f aca="false">Supuestos!$C$43*Supuestos!$N$43/Supuestos!$Q$43</f>
        <v>0</v>
      </c>
      <c r="AE44" s="4" t="n">
        <f aca="false">AD44*Supuestos!$D$43*Supuestos!K$7</f>
        <v>0</v>
      </c>
      <c r="AF44" s="19" t="str">
        <f aca="false">IFERROR((AE44-AD44)/AD44,"-")</f>
        <v>-</v>
      </c>
      <c r="AG44" s="4" t="n">
        <f aca="false">Supuestos!$C$43*Supuestos!$O$43/Supuestos!$Q$43</f>
        <v>0</v>
      </c>
      <c r="AH44" s="4" t="n">
        <f aca="false">AG44*Supuestos!$D$43*Supuestos!L$7</f>
        <v>0</v>
      </c>
      <c r="AI44" s="19" t="str">
        <f aca="false">IFERROR((AH44-AG44)/AG44,"-")</f>
        <v>-</v>
      </c>
      <c r="AJ44" s="4" t="n">
        <f aca="false">Supuestos!$C$43*Supuestos!$P$43/Supuestos!$Q$43</f>
        <v>0</v>
      </c>
      <c r="AK44" s="4" t="n">
        <f aca="false">AJ44*Supuestos!$D$43*Supuestos!M$7</f>
        <v>0</v>
      </c>
      <c r="AL44" s="19" t="str">
        <f aca="false">IFERROR((AK44-AJ44)/AJ44,"-")</f>
        <v>-</v>
      </c>
      <c r="AM44" s="20" t="n">
        <f aca="false">C44+F44+I44+L44+O44+R44+U44+X44+AA44+AD44+AG44+AJ44</f>
        <v>1500000</v>
      </c>
      <c r="AN44" s="20" t="n">
        <f aca="false">D44+G44+J44+M44+P44+S44+V44+Y44+AB44+AE44+AH44+AK44</f>
        <v>2887500</v>
      </c>
      <c r="AO44" s="21" t="n">
        <f aca="false">IFERROR((AN44-AM44)/AM44,"-")</f>
        <v>0.925</v>
      </c>
    </row>
    <row r="45" customFormat="false" ht="15" hidden="false" customHeight="false" outlineLevel="0" collapsed="false">
      <c r="A45" s="3" t="s">
        <v>13</v>
      </c>
      <c r="B45" s="3" t="s">
        <v>75</v>
      </c>
      <c r="C45" s="4" t="n">
        <f aca="false">Supuestos!$C$44*Supuestos!$E$44/Supuestos!$Q$44</f>
        <v>0</v>
      </c>
      <c r="D45" s="4" t="n">
        <f aca="false">C45*Supuestos!$D$44*Supuestos!B$7</f>
        <v>0</v>
      </c>
      <c r="E45" s="19" t="str">
        <f aca="false">IFERROR((D45-C45)/C45,"-")</f>
        <v>-</v>
      </c>
      <c r="F45" s="4" t="n">
        <f aca="false">Supuestos!$C$44*Supuestos!$F$44/Supuestos!$Q$44</f>
        <v>0</v>
      </c>
      <c r="G45" s="4" t="n">
        <f aca="false">F45*Supuestos!$D$44*Supuestos!C$7</f>
        <v>0</v>
      </c>
      <c r="H45" s="19" t="str">
        <f aca="false">IFERROR((G45-F45)/F45,"-")</f>
        <v>-</v>
      </c>
      <c r="I45" s="4" t="n">
        <f aca="false">Supuestos!$C$44*Supuestos!$G$44/Supuestos!$Q$44</f>
        <v>0</v>
      </c>
      <c r="J45" s="4" t="n">
        <f aca="false">I45*Supuestos!$D$44*Supuestos!D$7</f>
        <v>0</v>
      </c>
      <c r="K45" s="19" t="str">
        <f aca="false">IFERROR((J45-I45)/I45,"-")</f>
        <v>-</v>
      </c>
      <c r="L45" s="4" t="n">
        <f aca="false">Supuestos!$C$44*Supuestos!$H$44/Supuestos!$Q$44</f>
        <v>0</v>
      </c>
      <c r="M45" s="4" t="n">
        <f aca="false">L45*Supuestos!$D$44*Supuestos!E$7</f>
        <v>0</v>
      </c>
      <c r="N45" s="19" t="str">
        <f aca="false">IFERROR((M45-L45)/L45,"-")</f>
        <v>-</v>
      </c>
      <c r="O45" s="4" t="n">
        <f aca="false">Supuestos!$C$44*Supuestos!$I$44/Supuestos!$Q$44</f>
        <v>0</v>
      </c>
      <c r="P45" s="4" t="n">
        <f aca="false">O45*Supuestos!$D$44*Supuestos!F$7</f>
        <v>0</v>
      </c>
      <c r="Q45" s="19" t="str">
        <f aca="false">IFERROR((P45-O45)/O45,"-")</f>
        <v>-</v>
      </c>
      <c r="R45" s="4" t="n">
        <f aca="false">Supuestos!$C$44*Supuestos!$J$44/Supuestos!$Q$44</f>
        <v>900000</v>
      </c>
      <c r="S45" s="4" t="n">
        <f aca="false">R45*Supuestos!$D$44*Supuestos!G$7</f>
        <v>2052000</v>
      </c>
      <c r="T45" s="19" t="n">
        <f aca="false">IFERROR((S45-R45)/R45,"-")</f>
        <v>1.28</v>
      </c>
      <c r="U45" s="4" t="n">
        <f aca="false">Supuestos!$C$44*Supuestos!$K$44/Supuestos!$Q$44</f>
        <v>900000</v>
      </c>
      <c r="V45" s="4" t="n">
        <f aca="false">U45*Supuestos!$D$44*Supuestos!H$7</f>
        <v>2160000</v>
      </c>
      <c r="W45" s="19" t="n">
        <f aca="false">IFERROR((V45-U45)/U45,"-")</f>
        <v>1.4</v>
      </c>
      <c r="X45" s="4" t="n">
        <f aca="false">Supuestos!$C$44*Supuestos!$L$44/Supuestos!$Q$44</f>
        <v>0</v>
      </c>
      <c r="Y45" s="4" t="n">
        <f aca="false">X45*Supuestos!$D$44*Supuestos!I$7</f>
        <v>0</v>
      </c>
      <c r="Z45" s="19" t="str">
        <f aca="false">IFERROR((Y45-X45)/X45,"-")</f>
        <v>-</v>
      </c>
      <c r="AA45" s="4" t="n">
        <f aca="false">Supuestos!$C$44*Supuestos!$M$44/Supuestos!$Q$44</f>
        <v>0</v>
      </c>
      <c r="AB45" s="4" t="n">
        <f aca="false">AA45*Supuestos!$D$44*Supuestos!J$7</f>
        <v>0</v>
      </c>
      <c r="AC45" s="19" t="str">
        <f aca="false">IFERROR((AB45-AA45)/AA45,"-")</f>
        <v>-</v>
      </c>
      <c r="AD45" s="4" t="n">
        <f aca="false">Supuestos!$C$44*Supuestos!$N$44/Supuestos!$Q$44</f>
        <v>0</v>
      </c>
      <c r="AE45" s="4" t="n">
        <f aca="false">AD45*Supuestos!$D$44*Supuestos!K$7</f>
        <v>0</v>
      </c>
      <c r="AF45" s="19" t="str">
        <f aca="false">IFERROR((AE45-AD45)/AD45,"-")</f>
        <v>-</v>
      </c>
      <c r="AG45" s="4" t="n">
        <f aca="false">Supuestos!$C$44*Supuestos!$O$44/Supuestos!$Q$44</f>
        <v>0</v>
      </c>
      <c r="AH45" s="4" t="n">
        <f aca="false">AG45*Supuestos!$D$44*Supuestos!L$7</f>
        <v>0</v>
      </c>
      <c r="AI45" s="19" t="str">
        <f aca="false">IFERROR((AH45-AG45)/AG45,"-")</f>
        <v>-</v>
      </c>
      <c r="AJ45" s="4" t="n">
        <f aca="false">Supuestos!$C$44*Supuestos!$P$44/Supuestos!$Q$44</f>
        <v>0</v>
      </c>
      <c r="AK45" s="4" t="n">
        <f aca="false">AJ45*Supuestos!$D$44*Supuestos!M$7</f>
        <v>0</v>
      </c>
      <c r="AL45" s="19" t="str">
        <f aca="false">IFERROR((AK45-AJ45)/AJ45,"-")</f>
        <v>-</v>
      </c>
      <c r="AM45" s="20" t="n">
        <f aca="false">C45+F45+I45+L45+O45+R45+U45+X45+AA45+AD45+AG45+AJ45</f>
        <v>1800000</v>
      </c>
      <c r="AN45" s="20" t="n">
        <f aca="false">D45+G45+J45+M45+P45+S45+V45+Y45+AB45+AE45+AH45+AK45</f>
        <v>4212000</v>
      </c>
      <c r="AO45" s="21" t="n">
        <f aca="false">IFERROR((AN45-AM45)/AM45,"-")</f>
        <v>1.34</v>
      </c>
    </row>
    <row r="47" customFormat="false" ht="15.75" hidden="false" customHeight="true" outlineLevel="0" collapsed="false">
      <c r="A47" s="22" t="s">
        <v>76</v>
      </c>
      <c r="B47" s="22"/>
      <c r="C47" s="23" t="n">
        <f aca="false">C6+C9+C17+C25+C35+C41+C43</f>
        <v>10100000</v>
      </c>
      <c r="D47" s="24"/>
      <c r="E47" s="24"/>
      <c r="F47" s="23" t="n">
        <f aca="false">F6+F9+F17+F25+F35+F41+F43</f>
        <v>17159090.9090909</v>
      </c>
      <c r="G47" s="24"/>
      <c r="H47" s="24"/>
      <c r="I47" s="23" t="n">
        <f aca="false">I6+I9+I17+I25+I35+I41+I43</f>
        <v>11209090.9090909</v>
      </c>
      <c r="J47" s="24"/>
      <c r="K47" s="24"/>
      <c r="L47" s="23" t="n">
        <f aca="false">L6+L9+L17+L25+L35+L41+L43</f>
        <v>10209090.9090909</v>
      </c>
      <c r="M47" s="24"/>
      <c r="N47" s="24"/>
      <c r="O47" s="23" t="n">
        <f aca="false">O6+O9+O17+O25+O35+O41+O43</f>
        <v>13459090.9090909</v>
      </c>
      <c r="P47" s="24"/>
      <c r="Q47" s="24"/>
      <c r="R47" s="23" t="n">
        <f aca="false">R6+R9+R17+R25+R35+R41+R43</f>
        <v>11109090.9090909</v>
      </c>
      <c r="S47" s="24"/>
      <c r="T47" s="24"/>
      <c r="U47" s="23" t="n">
        <f aca="false">U6+U9+U17+U25+U35+U41+U43</f>
        <v>11109090.9090909</v>
      </c>
      <c r="V47" s="24"/>
      <c r="W47" s="24"/>
      <c r="X47" s="23" t="n">
        <f aca="false">X6+X9+X17+X25+X35+X41+X43</f>
        <v>14209090.9090909</v>
      </c>
      <c r="Y47" s="24"/>
      <c r="Z47" s="24"/>
      <c r="AA47" s="23" t="n">
        <f aca="false">AA6+AA9+AA17+AA25+AA35+AA41+AA43</f>
        <v>12159090.9090909</v>
      </c>
      <c r="AB47" s="24"/>
      <c r="AC47" s="24"/>
      <c r="AD47" s="23" t="n">
        <f aca="false">AD6+AD9+AD17+AD25+AD35+AD41+AD43</f>
        <v>13009090.9090909</v>
      </c>
      <c r="AE47" s="24"/>
      <c r="AF47" s="24"/>
      <c r="AG47" s="23" t="n">
        <f aca="false">AG6+AG9+AG17+AG25+AG35+AG41+AG43</f>
        <v>11759090.9090909</v>
      </c>
      <c r="AH47" s="24"/>
      <c r="AI47" s="24"/>
      <c r="AJ47" s="23" t="n">
        <f aca="false">AJ6+AJ9+AJ17+AJ25+AJ35+AJ41+AJ43</f>
        <v>10209090.9090909</v>
      </c>
      <c r="AK47" s="24"/>
      <c r="AL47" s="24"/>
      <c r="AM47" s="23" t="n">
        <f aca="false">AM6+AM9+AM17+AM25+AM35+AM41+AM43</f>
        <v>145700000</v>
      </c>
      <c r="AN47" s="24"/>
      <c r="AO47" s="24"/>
    </row>
    <row r="48" customFormat="false" ht="15.75" hidden="false" customHeight="true" outlineLevel="0" collapsed="false">
      <c r="A48" s="25" t="s">
        <v>77</v>
      </c>
      <c r="B48" s="25"/>
      <c r="C48" s="26"/>
      <c r="D48" s="27" t="n">
        <f aca="false">D6+D9+D17+D25+D35+D41+D43</f>
        <v>37320000</v>
      </c>
      <c r="E48" s="26"/>
      <c r="F48" s="26"/>
      <c r="G48" s="27" t="n">
        <f aca="false">G6+G9+G17+G25+G35+G41+G43</f>
        <v>67301136.3636364</v>
      </c>
      <c r="H48" s="26"/>
      <c r="I48" s="26"/>
      <c r="J48" s="27" t="n">
        <f aca="false">J6+J9+J17+J25+J35+J41+J43</f>
        <v>34832454.5454546</v>
      </c>
      <c r="K48" s="26"/>
      <c r="L48" s="26"/>
      <c r="M48" s="27" t="n">
        <f aca="false">M6+M9+M17+M25+M35+M41+M43</f>
        <v>30984818.1818182</v>
      </c>
      <c r="N48" s="26"/>
      <c r="O48" s="26"/>
      <c r="P48" s="27" t="n">
        <f aca="false">P6+P9+P17+P25+P35+P41+P43</f>
        <v>51242863.6363636</v>
      </c>
      <c r="Q48" s="26"/>
      <c r="R48" s="26"/>
      <c r="S48" s="27" t="n">
        <f aca="false">S6+S9+S17+S25+S35+S41+S43</f>
        <v>38582090.9090909</v>
      </c>
      <c r="T48" s="26"/>
      <c r="U48" s="26"/>
      <c r="V48" s="27" t="n">
        <f aca="false">V6+V9+V17+V25+V35+V41+V43</f>
        <v>40412727.2727273</v>
      </c>
      <c r="W48" s="26"/>
      <c r="X48" s="26"/>
      <c r="Y48" s="27" t="n">
        <f aca="false">Y6+Y9+Y17+Y25+Y35+Y41+Y43</f>
        <v>50901613.6363636</v>
      </c>
      <c r="Z48" s="26"/>
      <c r="AA48" s="26"/>
      <c r="AB48" s="27" t="n">
        <f aca="false">AB6+AB9+AB17+AB25+AB35+AB41+AB43</f>
        <v>48155500</v>
      </c>
      <c r="AC48" s="26"/>
      <c r="AD48" s="26"/>
      <c r="AE48" s="27" t="n">
        <f aca="false">AE6+AE9+AE17+AE25+AE35+AE41+AE43</f>
        <v>48194000</v>
      </c>
      <c r="AF48" s="26"/>
      <c r="AG48" s="26"/>
      <c r="AH48" s="27" t="n">
        <f aca="false">AH6+AH9+AH17+AH25+AH35+AH41+AH43</f>
        <v>49119636.3636364</v>
      </c>
      <c r="AI48" s="26"/>
      <c r="AJ48" s="26"/>
      <c r="AK48" s="27" t="n">
        <f aca="false">AK6+AK9+AK17+AK25+AK35+AK41+AK43</f>
        <v>56553545.4545455</v>
      </c>
      <c r="AL48" s="26"/>
      <c r="AM48" s="26"/>
      <c r="AN48" s="27" t="n">
        <f aca="false">AN6+AN9+AN17+AN25+AN35+AN41+AN43</f>
        <v>553600386.363637</v>
      </c>
      <c r="AO48" s="26"/>
    </row>
    <row r="49" customFormat="false" ht="15.75" hidden="false" customHeight="true" outlineLevel="0" collapsed="false">
      <c r="A49" s="25" t="s">
        <v>78</v>
      </c>
      <c r="B49" s="25"/>
      <c r="C49" s="26"/>
      <c r="D49" s="26"/>
      <c r="E49" s="28" t="n">
        <f aca="false">IFERROR((D48-C47)/C47,"-")</f>
        <v>2.6950495049505</v>
      </c>
      <c r="F49" s="26"/>
      <c r="G49" s="26"/>
      <c r="H49" s="28" t="n">
        <f aca="false">IFERROR((G48-F47)/F47,"-")</f>
        <v>2.92218543046358</v>
      </c>
      <c r="I49" s="26"/>
      <c r="J49" s="26"/>
      <c r="K49" s="28" t="n">
        <f aca="false">IFERROR((J48-I47)/I47,"-")</f>
        <v>2.10751824817518</v>
      </c>
      <c r="L49" s="26"/>
      <c r="M49" s="26"/>
      <c r="N49" s="28" t="n">
        <f aca="false">IFERROR((M48-L47)/L47,"-")</f>
        <v>2.03502226179875</v>
      </c>
      <c r="O49" s="26"/>
      <c r="P49" s="26"/>
      <c r="Q49" s="28" t="n">
        <f aca="false">IFERROR((P48-O47)/O47,"-")</f>
        <v>2.80730496453901</v>
      </c>
      <c r="R49" s="26"/>
      <c r="S49" s="26"/>
      <c r="T49" s="28" t="n">
        <f aca="false">IFERROR((S48-R47)/R47,"-")</f>
        <v>2.47301963993453</v>
      </c>
      <c r="U49" s="26"/>
      <c r="V49" s="26"/>
      <c r="W49" s="28" t="n">
        <f aca="false">IFERROR((V48-U47)/U47,"-")</f>
        <v>2.63780687397709</v>
      </c>
      <c r="X49" s="26"/>
      <c r="Y49" s="26"/>
      <c r="Z49" s="28" t="n">
        <f aca="false">IFERROR((Y48-X47)/X47,"-")</f>
        <v>2.58232725527831</v>
      </c>
      <c r="AA49" s="26"/>
      <c r="AB49" s="26"/>
      <c r="AC49" s="28" t="n">
        <f aca="false">IFERROR((AB48-AA47)/AA47,"-")</f>
        <v>2.9604523364486</v>
      </c>
      <c r="AD49" s="26"/>
      <c r="AE49" s="26"/>
      <c r="AF49" s="28" t="n">
        <f aca="false">IFERROR((AE48-AD47)/AD47,"-")</f>
        <v>2.70464011180992</v>
      </c>
      <c r="AG49" s="26"/>
      <c r="AH49" s="26"/>
      <c r="AI49" s="28" t="n">
        <f aca="false">IFERROR((AH48-AG47)/AG47,"-")</f>
        <v>3.17716273676073</v>
      </c>
      <c r="AJ49" s="26"/>
      <c r="AK49" s="26"/>
      <c r="AL49" s="28" t="n">
        <f aca="false">IFERROR((AK48-AJ47)/AJ47,"-")</f>
        <v>4.53952804986643</v>
      </c>
      <c r="AM49" s="26"/>
      <c r="AN49" s="26"/>
      <c r="AO49" s="28" t="n">
        <f aca="false">IFERROR((AN48-AM47)/AM47,"-")</f>
        <v>2.7995908466962</v>
      </c>
    </row>
    <row r="50" customFormat="false" ht="15.75" hidden="false" customHeight="true" outlineLevel="0" collapsed="false">
      <c r="A50" s="25" t="s">
        <v>79</v>
      </c>
      <c r="B50" s="25"/>
      <c r="C50" s="26"/>
      <c r="D50" s="26"/>
      <c r="E50" s="29" t="n">
        <f aca="false">IFERROR(D48/C47,"-")</f>
        <v>3.6950495049505</v>
      </c>
      <c r="F50" s="26"/>
      <c r="G50" s="26"/>
      <c r="H50" s="29" t="n">
        <f aca="false">IFERROR(G48/F47,"-")</f>
        <v>3.92218543046358</v>
      </c>
      <c r="I50" s="26"/>
      <c r="J50" s="26"/>
      <c r="K50" s="29" t="n">
        <f aca="false">IFERROR(J48/I47,"-")</f>
        <v>3.10751824817518</v>
      </c>
      <c r="L50" s="26"/>
      <c r="M50" s="26"/>
      <c r="N50" s="29" t="n">
        <f aca="false">IFERROR(M48/L47,"-")</f>
        <v>3.03502226179875</v>
      </c>
      <c r="O50" s="26"/>
      <c r="P50" s="26"/>
      <c r="Q50" s="29" t="n">
        <f aca="false">IFERROR(P48/O47,"-")</f>
        <v>3.80730496453901</v>
      </c>
      <c r="R50" s="26"/>
      <c r="S50" s="26"/>
      <c r="T50" s="29" t="n">
        <f aca="false">IFERROR(S48/R47,"-")</f>
        <v>3.47301963993453</v>
      </c>
      <c r="U50" s="26"/>
      <c r="V50" s="26"/>
      <c r="W50" s="29" t="n">
        <f aca="false">IFERROR(V48/U47,"-")</f>
        <v>3.63780687397709</v>
      </c>
      <c r="X50" s="26"/>
      <c r="Y50" s="26"/>
      <c r="Z50" s="29" t="n">
        <f aca="false">IFERROR(Y48/X47,"-")</f>
        <v>3.58232725527831</v>
      </c>
      <c r="AA50" s="26"/>
      <c r="AB50" s="26"/>
      <c r="AC50" s="29" t="n">
        <f aca="false">IFERROR(AB48/AA47,"-")</f>
        <v>3.9604523364486</v>
      </c>
      <c r="AD50" s="26"/>
      <c r="AE50" s="26"/>
      <c r="AF50" s="29" t="n">
        <f aca="false">IFERROR(AE48/AD47,"-")</f>
        <v>3.70464011180992</v>
      </c>
      <c r="AG50" s="26"/>
      <c r="AH50" s="26"/>
      <c r="AI50" s="29" t="n">
        <f aca="false">IFERROR(AH48/AG47,"-")</f>
        <v>4.17716273676073</v>
      </c>
      <c r="AJ50" s="26"/>
      <c r="AK50" s="26"/>
      <c r="AL50" s="29" t="n">
        <f aca="false">IFERROR(AK48/AJ47,"-")</f>
        <v>5.53952804986643</v>
      </c>
      <c r="AM50" s="26"/>
      <c r="AN50" s="26"/>
      <c r="AO50" s="29" t="n">
        <f aca="false">IFERROR(AN48/AM47,"-")</f>
        <v>3.7995908466962</v>
      </c>
    </row>
  </sheetData>
  <mergeCells count="28">
    <mergeCell ref="A1:AO1"/>
    <mergeCell ref="A2:AO2"/>
    <mergeCell ref="A4:A5"/>
    <mergeCell ref="B4:B5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6:B6"/>
    <mergeCell ref="A9:B9"/>
    <mergeCell ref="A17:B17"/>
    <mergeCell ref="A25:B25"/>
    <mergeCell ref="A35:B35"/>
    <mergeCell ref="A41:B41"/>
    <mergeCell ref="A43:B43"/>
    <mergeCell ref="A47:B47"/>
    <mergeCell ref="A48:B48"/>
    <mergeCell ref="A49:B49"/>
    <mergeCell ref="A50:B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16" min="5" style="0" width="7"/>
    <col collapsed="false" customWidth="true" hidden="false" outlineLevel="0" max="17" min="17" style="0" width="10"/>
    <col collapsed="false" customWidth="true" hidden="false" outlineLevel="0" max="18" min="18" style="0" width="50"/>
  </cols>
  <sheetData>
    <row r="1" customFormat="false" ht="25.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27.75" hidden="false" customHeight="true" outlineLevel="0" collapsed="false">
      <c r="A3" s="30" t="s">
        <v>81</v>
      </c>
      <c r="B3" s="31" t="n">
        <v>27000</v>
      </c>
      <c r="C3" s="32" t="s">
        <v>82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5" customFormat="false" ht="15" hidden="false" customHeight="false" outlineLevel="0" collapsed="false">
      <c r="A5" s="33" t="s">
        <v>83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customFormat="false" ht="15" hidden="false" customHeight="false" outlineLevel="0" collapsed="false">
      <c r="A6" s="30" t="s">
        <v>84</v>
      </c>
      <c r="B6" s="34" t="s">
        <v>85</v>
      </c>
      <c r="C6" s="34" t="s">
        <v>86</v>
      </c>
      <c r="D6" s="34" t="s">
        <v>87</v>
      </c>
      <c r="E6" s="34" t="s">
        <v>88</v>
      </c>
      <c r="F6" s="34" t="s">
        <v>89</v>
      </c>
      <c r="G6" s="34" t="s">
        <v>90</v>
      </c>
      <c r="H6" s="34" t="s">
        <v>91</v>
      </c>
      <c r="I6" s="34" t="s">
        <v>92</v>
      </c>
      <c r="J6" s="34" t="s">
        <v>93</v>
      </c>
      <c r="K6" s="34" t="s">
        <v>94</v>
      </c>
      <c r="L6" s="34" t="s">
        <v>95</v>
      </c>
      <c r="M6" s="34" t="s">
        <v>96</v>
      </c>
    </row>
    <row r="7" customFormat="false" ht="15" hidden="false" customHeight="false" outlineLevel="0" collapsed="false">
      <c r="A7" s="30" t="s">
        <v>97</v>
      </c>
      <c r="B7" s="35" t="n">
        <v>1.2</v>
      </c>
      <c r="C7" s="35" t="n">
        <v>1.15</v>
      </c>
      <c r="D7" s="35" t="n">
        <v>0.9</v>
      </c>
      <c r="E7" s="35" t="n">
        <v>0.85</v>
      </c>
      <c r="F7" s="35" t="n">
        <v>1.05</v>
      </c>
      <c r="G7" s="35" t="n">
        <v>0.95</v>
      </c>
      <c r="H7" s="35" t="n">
        <v>1</v>
      </c>
      <c r="I7" s="35" t="n">
        <v>1.05</v>
      </c>
      <c r="J7" s="35" t="n">
        <v>1.1</v>
      </c>
      <c r="K7" s="35" t="n">
        <v>1.1</v>
      </c>
      <c r="L7" s="35" t="n">
        <v>1.15</v>
      </c>
      <c r="M7" s="35" t="n">
        <v>1.3</v>
      </c>
    </row>
    <row r="8" customFormat="false" ht="42" hidden="false" customHeight="true" outlineLevel="0" collapsed="false">
      <c r="A8" s="30" t="s">
        <v>98</v>
      </c>
      <c r="B8" s="32" t="s">
        <v>99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10" customFormat="false" ht="15" hidden="false" customHeight="false" outlineLevel="0" collapsed="false">
      <c r="A10" s="33" t="s">
        <v>100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customFormat="false" ht="30" hidden="false" customHeight="true" outlineLevel="0" collapsed="false">
      <c r="A11" s="36" t="s">
        <v>1</v>
      </c>
      <c r="B11" s="36" t="s">
        <v>17</v>
      </c>
      <c r="C11" s="36" t="s">
        <v>101</v>
      </c>
      <c r="D11" s="36" t="s">
        <v>102</v>
      </c>
      <c r="E11" s="36" t="s">
        <v>85</v>
      </c>
      <c r="F11" s="36" t="s">
        <v>86</v>
      </c>
      <c r="G11" s="36" t="s">
        <v>87</v>
      </c>
      <c r="H11" s="36" t="s">
        <v>88</v>
      </c>
      <c r="I11" s="36" t="s">
        <v>89</v>
      </c>
      <c r="J11" s="36" t="s">
        <v>90</v>
      </c>
      <c r="K11" s="36" t="s">
        <v>91</v>
      </c>
      <c r="L11" s="36" t="s">
        <v>92</v>
      </c>
      <c r="M11" s="36" t="s">
        <v>93</v>
      </c>
      <c r="N11" s="36" t="s">
        <v>94</v>
      </c>
      <c r="O11" s="36" t="s">
        <v>95</v>
      </c>
      <c r="P11" s="36" t="s">
        <v>96</v>
      </c>
      <c r="Q11" s="36" t="s">
        <v>103</v>
      </c>
      <c r="R11" s="36" t="s">
        <v>104</v>
      </c>
    </row>
    <row r="12" customFormat="false" ht="23.85" hidden="false" customHeight="false" outlineLevel="0" collapsed="false">
      <c r="A12" s="3" t="s">
        <v>7</v>
      </c>
      <c r="B12" s="3" t="s">
        <v>37</v>
      </c>
      <c r="C12" s="37" t="n">
        <v>3000000</v>
      </c>
      <c r="D12" s="38" t="n">
        <v>3</v>
      </c>
      <c r="E12" s="39" t="n">
        <v>1</v>
      </c>
      <c r="F12" s="39" t="n">
        <v>0</v>
      </c>
      <c r="G12" s="39" t="n">
        <v>0</v>
      </c>
      <c r="H12" s="39" t="n">
        <v>0</v>
      </c>
      <c r="I12" s="39" t="n">
        <v>0</v>
      </c>
      <c r="J12" s="39" t="n">
        <v>0</v>
      </c>
      <c r="K12" s="39" t="n">
        <v>0</v>
      </c>
      <c r="L12" s="39" t="n">
        <v>0</v>
      </c>
      <c r="M12" s="39" t="n">
        <v>0</v>
      </c>
      <c r="N12" s="39" t="n">
        <v>0</v>
      </c>
      <c r="O12" s="39" t="n">
        <v>0</v>
      </c>
      <c r="P12" s="39" t="n">
        <v>0</v>
      </c>
      <c r="Q12" s="40" t="n">
        <f aca="false">SUM(E12:P12)</f>
        <v>1</v>
      </c>
      <c r="R12" s="41" t="s">
        <v>105</v>
      </c>
    </row>
    <row r="13" customFormat="false" ht="23.85" hidden="false" customHeight="false" outlineLevel="0" collapsed="false">
      <c r="A13" s="3" t="s">
        <v>7</v>
      </c>
      <c r="B13" s="3" t="s">
        <v>38</v>
      </c>
      <c r="C13" s="37" t="n">
        <v>2000000</v>
      </c>
      <c r="D13" s="38" t="n">
        <v>3.5</v>
      </c>
      <c r="E13" s="39" t="n">
        <v>1</v>
      </c>
      <c r="F13" s="39" t="n">
        <v>1</v>
      </c>
      <c r="G13" s="39" t="n">
        <v>0</v>
      </c>
      <c r="H13" s="39" t="n">
        <v>0</v>
      </c>
      <c r="I13" s="39" t="n">
        <v>0</v>
      </c>
      <c r="J13" s="39" t="n">
        <v>0</v>
      </c>
      <c r="K13" s="39" t="n">
        <v>0</v>
      </c>
      <c r="L13" s="39" t="n">
        <v>0</v>
      </c>
      <c r="M13" s="39" t="n">
        <v>0</v>
      </c>
      <c r="N13" s="39" t="n">
        <v>0</v>
      </c>
      <c r="O13" s="39" t="n">
        <v>0</v>
      </c>
      <c r="P13" s="39" t="n">
        <v>0</v>
      </c>
      <c r="Q13" s="40" t="n">
        <f aca="false">SUM(E13:P13)</f>
        <v>2</v>
      </c>
      <c r="R13" s="41" t="s">
        <v>106</v>
      </c>
    </row>
    <row r="14" customFormat="false" ht="15" hidden="false" customHeight="false" outlineLevel="0" collapsed="false">
      <c r="A14" s="3" t="s">
        <v>8</v>
      </c>
      <c r="B14" s="3" t="s">
        <v>40</v>
      </c>
      <c r="C14" s="37" t="n">
        <v>12000000</v>
      </c>
      <c r="D14" s="38" t="n">
        <v>2.5</v>
      </c>
      <c r="E14" s="39" t="n">
        <v>1</v>
      </c>
      <c r="F14" s="39" t="n">
        <v>1</v>
      </c>
      <c r="G14" s="39" t="n">
        <v>1</v>
      </c>
      <c r="H14" s="39" t="n">
        <v>1</v>
      </c>
      <c r="I14" s="39" t="n">
        <v>1</v>
      </c>
      <c r="J14" s="39" t="n">
        <v>1</v>
      </c>
      <c r="K14" s="39" t="n">
        <v>1</v>
      </c>
      <c r="L14" s="39" t="n">
        <v>1</v>
      </c>
      <c r="M14" s="39" t="n">
        <v>1</v>
      </c>
      <c r="N14" s="39" t="n">
        <v>1</v>
      </c>
      <c r="O14" s="39" t="n">
        <v>1</v>
      </c>
      <c r="P14" s="39" t="n">
        <v>1</v>
      </c>
      <c r="Q14" s="40" t="n">
        <f aca="false">SUM(E14:P14)</f>
        <v>12</v>
      </c>
      <c r="R14" s="41" t="s">
        <v>107</v>
      </c>
    </row>
    <row r="15" customFormat="false" ht="23.85" hidden="false" customHeight="false" outlineLevel="0" collapsed="false">
      <c r="A15" s="3" t="s">
        <v>8</v>
      </c>
      <c r="B15" s="3" t="s">
        <v>41</v>
      </c>
      <c r="C15" s="37" t="n">
        <v>1200000</v>
      </c>
      <c r="D15" s="38" t="n">
        <v>6</v>
      </c>
      <c r="E15" s="39" t="n">
        <v>1</v>
      </c>
      <c r="F15" s="39" t="n">
        <v>1</v>
      </c>
      <c r="G15" s="39" t="n">
        <v>1</v>
      </c>
      <c r="H15" s="39" t="n">
        <v>1</v>
      </c>
      <c r="I15" s="39" t="n">
        <v>1</v>
      </c>
      <c r="J15" s="39" t="n">
        <v>1</v>
      </c>
      <c r="K15" s="39" t="n">
        <v>1</v>
      </c>
      <c r="L15" s="39" t="n">
        <v>1</v>
      </c>
      <c r="M15" s="39" t="n">
        <v>1</v>
      </c>
      <c r="N15" s="39" t="n">
        <v>1</v>
      </c>
      <c r="O15" s="39" t="n">
        <v>1</v>
      </c>
      <c r="P15" s="39" t="n">
        <v>1</v>
      </c>
      <c r="Q15" s="40" t="n">
        <f aca="false">SUM(E15:P15)</f>
        <v>12</v>
      </c>
      <c r="R15" s="41" t="s">
        <v>108</v>
      </c>
    </row>
    <row r="16" customFormat="false" ht="15" hidden="false" customHeight="false" outlineLevel="0" collapsed="false">
      <c r="A16" s="3" t="s">
        <v>8</v>
      </c>
      <c r="B16" s="3" t="s">
        <v>42</v>
      </c>
      <c r="C16" s="37" t="n">
        <v>24000000</v>
      </c>
      <c r="D16" s="38" t="n">
        <v>4</v>
      </c>
      <c r="E16" s="39" t="n">
        <v>1</v>
      </c>
      <c r="F16" s="39" t="n">
        <v>1</v>
      </c>
      <c r="G16" s="39" t="n">
        <v>1</v>
      </c>
      <c r="H16" s="39" t="n">
        <v>1</v>
      </c>
      <c r="I16" s="39" t="n">
        <v>1</v>
      </c>
      <c r="J16" s="39" t="n">
        <v>1</v>
      </c>
      <c r="K16" s="39" t="n">
        <v>1</v>
      </c>
      <c r="L16" s="39" t="n">
        <v>1</v>
      </c>
      <c r="M16" s="39" t="n">
        <v>1</v>
      </c>
      <c r="N16" s="39" t="n">
        <v>1</v>
      </c>
      <c r="O16" s="39" t="n">
        <v>1</v>
      </c>
      <c r="P16" s="39" t="n">
        <v>1</v>
      </c>
      <c r="Q16" s="40" t="n">
        <f aca="false">SUM(E16:P16)</f>
        <v>12</v>
      </c>
      <c r="R16" s="41" t="s">
        <v>109</v>
      </c>
    </row>
    <row r="17" customFormat="false" ht="15" hidden="false" customHeight="false" outlineLevel="0" collapsed="false">
      <c r="A17" s="3" t="s">
        <v>8</v>
      </c>
      <c r="B17" s="3" t="s">
        <v>43</v>
      </c>
      <c r="C17" s="37" t="n">
        <v>6000000</v>
      </c>
      <c r="D17" s="38" t="n">
        <v>3.2</v>
      </c>
      <c r="E17" s="39" t="n">
        <v>0</v>
      </c>
      <c r="F17" s="39" t="n">
        <v>1</v>
      </c>
      <c r="G17" s="39" t="n">
        <v>0</v>
      </c>
      <c r="H17" s="39" t="n">
        <v>0</v>
      </c>
      <c r="I17" s="39" t="n">
        <v>0</v>
      </c>
      <c r="J17" s="39" t="n">
        <v>0</v>
      </c>
      <c r="K17" s="39" t="n">
        <v>0</v>
      </c>
      <c r="L17" s="39" t="n">
        <v>1</v>
      </c>
      <c r="M17" s="39" t="n">
        <v>0</v>
      </c>
      <c r="N17" s="39" t="n">
        <v>0</v>
      </c>
      <c r="O17" s="39" t="n">
        <v>0</v>
      </c>
      <c r="P17" s="39" t="n">
        <v>0</v>
      </c>
      <c r="Q17" s="40" t="n">
        <f aca="false">SUM(E17:P17)</f>
        <v>2</v>
      </c>
      <c r="R17" s="41" t="s">
        <v>110</v>
      </c>
    </row>
    <row r="18" customFormat="false" ht="15" hidden="false" customHeight="false" outlineLevel="0" collapsed="false">
      <c r="A18" s="3" t="s">
        <v>8</v>
      </c>
      <c r="B18" s="3" t="s">
        <v>44</v>
      </c>
      <c r="C18" s="37" t="n">
        <v>8000000</v>
      </c>
      <c r="D18" s="38" t="n">
        <v>5</v>
      </c>
      <c r="E18" s="39" t="n">
        <v>0</v>
      </c>
      <c r="F18" s="39" t="n">
        <v>1</v>
      </c>
      <c r="G18" s="39" t="n">
        <v>1</v>
      </c>
      <c r="H18" s="39" t="n">
        <v>1</v>
      </c>
      <c r="I18" s="39" t="n">
        <v>1</v>
      </c>
      <c r="J18" s="39" t="n">
        <v>1</v>
      </c>
      <c r="K18" s="39" t="n">
        <v>1</v>
      </c>
      <c r="L18" s="39" t="n">
        <v>1</v>
      </c>
      <c r="M18" s="39" t="n">
        <v>1</v>
      </c>
      <c r="N18" s="39" t="n">
        <v>1</v>
      </c>
      <c r="O18" s="39" t="n">
        <v>1</v>
      </c>
      <c r="P18" s="39" t="n">
        <v>1</v>
      </c>
      <c r="Q18" s="40" t="n">
        <f aca="false">SUM(E18:P18)</f>
        <v>11</v>
      </c>
      <c r="R18" s="41" t="s">
        <v>111</v>
      </c>
    </row>
    <row r="19" customFormat="false" ht="15" hidden="false" customHeight="false" outlineLevel="0" collapsed="false">
      <c r="A19" s="3" t="s">
        <v>8</v>
      </c>
      <c r="B19" s="3" t="s">
        <v>45</v>
      </c>
      <c r="C19" s="37" t="n">
        <v>2400000</v>
      </c>
      <c r="D19" s="38" t="n">
        <v>4.5</v>
      </c>
      <c r="E19" s="39" t="n">
        <v>0</v>
      </c>
      <c r="F19" s="39" t="n">
        <v>1</v>
      </c>
      <c r="G19" s="39" t="n">
        <v>1</v>
      </c>
      <c r="H19" s="39" t="n">
        <v>1</v>
      </c>
      <c r="I19" s="39" t="n">
        <v>1</v>
      </c>
      <c r="J19" s="39" t="n">
        <v>1</v>
      </c>
      <c r="K19" s="39" t="n">
        <v>1</v>
      </c>
      <c r="L19" s="39" t="n">
        <v>1</v>
      </c>
      <c r="M19" s="39" t="n">
        <v>1</v>
      </c>
      <c r="N19" s="39" t="n">
        <v>1</v>
      </c>
      <c r="O19" s="39" t="n">
        <v>1</v>
      </c>
      <c r="P19" s="39" t="n">
        <v>1</v>
      </c>
      <c r="Q19" s="40" t="n">
        <f aca="false">SUM(E19:P19)</f>
        <v>11</v>
      </c>
      <c r="R19" s="41" t="s">
        <v>112</v>
      </c>
    </row>
    <row r="20" customFormat="false" ht="15" hidden="false" customHeight="false" outlineLevel="0" collapsed="false">
      <c r="A20" s="3" t="s">
        <v>8</v>
      </c>
      <c r="B20" s="3" t="s">
        <v>46</v>
      </c>
      <c r="C20" s="37" t="n">
        <v>1500000</v>
      </c>
      <c r="D20" s="38" t="n">
        <v>2.8</v>
      </c>
      <c r="E20" s="39" t="n">
        <v>0</v>
      </c>
      <c r="F20" s="39" t="n">
        <v>0</v>
      </c>
      <c r="G20" s="39" t="n">
        <v>0</v>
      </c>
      <c r="H20" s="39" t="n">
        <v>0</v>
      </c>
      <c r="I20" s="39" t="n">
        <v>0</v>
      </c>
      <c r="J20" s="39" t="n">
        <v>0</v>
      </c>
      <c r="K20" s="39" t="n">
        <v>0</v>
      </c>
      <c r="L20" s="39" t="n">
        <v>0</v>
      </c>
      <c r="M20" s="39" t="n">
        <v>1</v>
      </c>
      <c r="N20" s="39" t="n">
        <v>1</v>
      </c>
      <c r="O20" s="39" t="n">
        <v>0</v>
      </c>
      <c r="P20" s="39" t="n">
        <v>0</v>
      </c>
      <c r="Q20" s="40" t="n">
        <f aca="false">SUM(E20:P20)</f>
        <v>2</v>
      </c>
      <c r="R20" s="41" t="s">
        <v>113</v>
      </c>
    </row>
    <row r="21" customFormat="false" ht="23.85" hidden="false" customHeight="false" outlineLevel="0" collapsed="false">
      <c r="A21" s="3" t="s">
        <v>9</v>
      </c>
      <c r="B21" s="3" t="s">
        <v>48</v>
      </c>
      <c r="C21" s="37" t="n">
        <v>6000000</v>
      </c>
      <c r="D21" s="38" t="n">
        <v>2.5</v>
      </c>
      <c r="E21" s="39" t="n">
        <v>1</v>
      </c>
      <c r="F21" s="39" t="n">
        <v>1</v>
      </c>
      <c r="G21" s="39" t="n">
        <v>0</v>
      </c>
      <c r="H21" s="39" t="n">
        <v>0</v>
      </c>
      <c r="I21" s="39" t="n">
        <v>0</v>
      </c>
      <c r="J21" s="39" t="n">
        <v>0</v>
      </c>
      <c r="K21" s="39" t="n">
        <v>0</v>
      </c>
      <c r="L21" s="39" t="n">
        <v>0</v>
      </c>
      <c r="M21" s="39" t="n">
        <v>0</v>
      </c>
      <c r="N21" s="39" t="n">
        <v>0</v>
      </c>
      <c r="O21" s="39" t="n">
        <v>0</v>
      </c>
      <c r="P21" s="39" t="n">
        <v>0</v>
      </c>
      <c r="Q21" s="40" t="n">
        <f aca="false">SUM(E21:P21)</f>
        <v>2</v>
      </c>
      <c r="R21" s="41" t="s">
        <v>114</v>
      </c>
    </row>
    <row r="22" customFormat="false" ht="15" hidden="false" customHeight="false" outlineLevel="0" collapsed="false">
      <c r="A22" s="3" t="s">
        <v>9</v>
      </c>
      <c r="B22" s="3" t="s">
        <v>49</v>
      </c>
      <c r="C22" s="37" t="n">
        <v>15000000</v>
      </c>
      <c r="D22" s="38" t="n">
        <v>4</v>
      </c>
      <c r="E22" s="39" t="n">
        <v>0</v>
      </c>
      <c r="F22" s="39" t="n">
        <v>1</v>
      </c>
      <c r="G22" s="39" t="n">
        <v>1</v>
      </c>
      <c r="H22" s="39" t="n">
        <v>1</v>
      </c>
      <c r="I22" s="39" t="n">
        <v>1</v>
      </c>
      <c r="J22" s="39" t="n">
        <v>1</v>
      </c>
      <c r="K22" s="39" t="n">
        <v>1</v>
      </c>
      <c r="L22" s="39" t="n">
        <v>1</v>
      </c>
      <c r="M22" s="39" t="n">
        <v>1</v>
      </c>
      <c r="N22" s="39" t="n">
        <v>1</v>
      </c>
      <c r="O22" s="39" t="n">
        <v>1</v>
      </c>
      <c r="P22" s="39" t="n">
        <v>1</v>
      </c>
      <c r="Q22" s="40" t="n">
        <f aca="false">SUM(E22:P22)</f>
        <v>11</v>
      </c>
      <c r="R22" s="41" t="s">
        <v>115</v>
      </c>
    </row>
    <row r="23" customFormat="false" ht="15" hidden="false" customHeight="false" outlineLevel="0" collapsed="false">
      <c r="A23" s="3" t="s">
        <v>9</v>
      </c>
      <c r="B23" s="3" t="s">
        <v>50</v>
      </c>
      <c r="C23" s="37" t="n">
        <v>10000000</v>
      </c>
      <c r="D23" s="38" t="n">
        <v>3</v>
      </c>
      <c r="E23" s="39" t="n">
        <v>0</v>
      </c>
      <c r="F23" s="39" t="n">
        <v>1</v>
      </c>
      <c r="G23" s="39" t="n">
        <v>1</v>
      </c>
      <c r="H23" s="39" t="n">
        <v>1</v>
      </c>
      <c r="I23" s="39" t="n">
        <v>1</v>
      </c>
      <c r="J23" s="39" t="n">
        <v>0</v>
      </c>
      <c r="K23" s="39" t="n">
        <v>0</v>
      </c>
      <c r="L23" s="39" t="n">
        <v>1</v>
      </c>
      <c r="M23" s="39" t="n">
        <v>1</v>
      </c>
      <c r="N23" s="39" t="n">
        <v>1</v>
      </c>
      <c r="O23" s="39" t="n">
        <v>1</v>
      </c>
      <c r="P23" s="39" t="n">
        <v>0</v>
      </c>
      <c r="Q23" s="40" t="n">
        <f aca="false">SUM(E23:P23)</f>
        <v>8</v>
      </c>
      <c r="R23" s="41" t="s">
        <v>116</v>
      </c>
    </row>
    <row r="24" customFormat="false" ht="15" hidden="false" customHeight="false" outlineLevel="0" collapsed="false">
      <c r="A24" s="3" t="s">
        <v>9</v>
      </c>
      <c r="B24" s="3" t="s">
        <v>51</v>
      </c>
      <c r="C24" s="37" t="n">
        <v>9000000</v>
      </c>
      <c r="D24" s="38" t="n">
        <v>3.5</v>
      </c>
      <c r="E24" s="39" t="n">
        <v>0</v>
      </c>
      <c r="F24" s="39" t="n">
        <v>0</v>
      </c>
      <c r="G24" s="39" t="n">
        <v>1</v>
      </c>
      <c r="H24" s="39" t="n">
        <v>1</v>
      </c>
      <c r="I24" s="39" t="n">
        <v>1</v>
      </c>
      <c r="J24" s="39" t="n">
        <v>1</v>
      </c>
      <c r="K24" s="39" t="n">
        <v>1</v>
      </c>
      <c r="L24" s="39" t="n">
        <v>1</v>
      </c>
      <c r="M24" s="39" t="n">
        <v>1</v>
      </c>
      <c r="N24" s="39" t="n">
        <v>1</v>
      </c>
      <c r="O24" s="39" t="n">
        <v>1</v>
      </c>
      <c r="P24" s="39" t="n">
        <v>1</v>
      </c>
      <c r="Q24" s="40" t="n">
        <f aca="false">SUM(E24:P24)</f>
        <v>10</v>
      </c>
      <c r="R24" s="41" t="s">
        <v>117</v>
      </c>
    </row>
    <row r="25" customFormat="false" ht="23.85" hidden="false" customHeight="false" outlineLevel="0" collapsed="false">
      <c r="A25" s="3" t="s">
        <v>9</v>
      </c>
      <c r="B25" s="3" t="s">
        <v>52</v>
      </c>
      <c r="C25" s="37" t="n">
        <v>4000000</v>
      </c>
      <c r="D25" s="38" t="n">
        <v>4.2</v>
      </c>
      <c r="E25" s="39" t="n">
        <v>0</v>
      </c>
      <c r="F25" s="39" t="n">
        <v>0</v>
      </c>
      <c r="G25" s="39" t="n">
        <v>1</v>
      </c>
      <c r="H25" s="39" t="n">
        <v>1</v>
      </c>
      <c r="I25" s="39" t="n">
        <v>1</v>
      </c>
      <c r="J25" s="39" t="n">
        <v>1</v>
      </c>
      <c r="K25" s="39" t="n">
        <v>1</v>
      </c>
      <c r="L25" s="39" t="n">
        <v>1</v>
      </c>
      <c r="M25" s="39" t="n">
        <v>1</v>
      </c>
      <c r="N25" s="39" t="n">
        <v>1</v>
      </c>
      <c r="O25" s="39" t="n">
        <v>1</v>
      </c>
      <c r="P25" s="39" t="n">
        <v>1</v>
      </c>
      <c r="Q25" s="40" t="n">
        <f aca="false">SUM(E25:P25)</f>
        <v>10</v>
      </c>
      <c r="R25" s="41" t="s">
        <v>118</v>
      </c>
    </row>
    <row r="26" customFormat="false" ht="15" hidden="false" customHeight="false" outlineLevel="0" collapsed="false">
      <c r="A26" s="3" t="s">
        <v>9</v>
      </c>
      <c r="B26" s="3" t="s">
        <v>53</v>
      </c>
      <c r="C26" s="37" t="n">
        <v>2000000</v>
      </c>
      <c r="D26" s="38" t="n">
        <v>4.5</v>
      </c>
      <c r="E26" s="39" t="n">
        <v>0</v>
      </c>
      <c r="F26" s="39" t="n">
        <v>0</v>
      </c>
      <c r="G26" s="39" t="n">
        <v>0</v>
      </c>
      <c r="H26" s="39" t="n">
        <v>1</v>
      </c>
      <c r="I26" s="39" t="n">
        <v>1</v>
      </c>
      <c r="J26" s="39" t="n">
        <v>1</v>
      </c>
      <c r="K26" s="39" t="n">
        <v>1</v>
      </c>
      <c r="L26" s="39" t="n">
        <v>0</v>
      </c>
      <c r="M26" s="39" t="n">
        <v>0</v>
      </c>
      <c r="N26" s="39" t="n">
        <v>0</v>
      </c>
      <c r="O26" s="39" t="n">
        <v>0</v>
      </c>
      <c r="P26" s="39" t="n">
        <v>0</v>
      </c>
      <c r="Q26" s="40" t="n">
        <f aca="false">SUM(E26:P26)</f>
        <v>4</v>
      </c>
      <c r="R26" s="41" t="s">
        <v>119</v>
      </c>
    </row>
    <row r="27" customFormat="false" ht="15" hidden="false" customHeight="false" outlineLevel="0" collapsed="false">
      <c r="A27" s="3" t="s">
        <v>9</v>
      </c>
      <c r="B27" s="3" t="s">
        <v>54</v>
      </c>
      <c r="C27" s="37" t="n">
        <v>1800000</v>
      </c>
      <c r="D27" s="38" t="n">
        <v>2.6</v>
      </c>
      <c r="E27" s="39" t="n">
        <v>0</v>
      </c>
      <c r="F27" s="39" t="n">
        <v>0</v>
      </c>
      <c r="G27" s="39" t="n">
        <v>0</v>
      </c>
      <c r="H27" s="39" t="n">
        <v>0</v>
      </c>
      <c r="I27" s="39" t="n">
        <v>0</v>
      </c>
      <c r="J27" s="39" t="n">
        <v>0</v>
      </c>
      <c r="K27" s="39" t="n">
        <v>0</v>
      </c>
      <c r="L27" s="39" t="n">
        <v>0</v>
      </c>
      <c r="M27" s="39" t="n">
        <v>0</v>
      </c>
      <c r="N27" s="39" t="n">
        <v>1</v>
      </c>
      <c r="O27" s="39" t="n">
        <v>1</v>
      </c>
      <c r="P27" s="39" t="n">
        <v>0</v>
      </c>
      <c r="Q27" s="40" t="n">
        <f aca="false">SUM(E27:P27)</f>
        <v>2</v>
      </c>
      <c r="R27" s="41" t="s">
        <v>120</v>
      </c>
    </row>
    <row r="28" customFormat="false" ht="15" hidden="false" customHeight="false" outlineLevel="0" collapsed="false">
      <c r="A28" s="3" t="s">
        <v>10</v>
      </c>
      <c r="B28" s="3" t="s">
        <v>56</v>
      </c>
      <c r="C28" s="37" t="n">
        <v>2500000</v>
      </c>
      <c r="D28" s="38" t="n">
        <v>4</v>
      </c>
      <c r="E28" s="39" t="n">
        <v>0</v>
      </c>
      <c r="F28" s="39" t="n">
        <v>1</v>
      </c>
      <c r="G28" s="39" t="n">
        <v>0</v>
      </c>
      <c r="H28" s="39" t="n">
        <v>0</v>
      </c>
      <c r="I28" s="39" t="n">
        <v>0</v>
      </c>
      <c r="J28" s="39" t="n">
        <v>0</v>
      </c>
      <c r="K28" s="39" t="n">
        <v>0</v>
      </c>
      <c r="L28" s="39" t="n">
        <v>0</v>
      </c>
      <c r="M28" s="39" t="n">
        <v>0</v>
      </c>
      <c r="N28" s="39" t="n">
        <v>0</v>
      </c>
      <c r="O28" s="39" t="n">
        <v>0</v>
      </c>
      <c r="P28" s="39" t="n">
        <v>0</v>
      </c>
      <c r="Q28" s="40" t="n">
        <f aca="false">SUM(E28:P28)</f>
        <v>1</v>
      </c>
      <c r="R28" s="41" t="s">
        <v>121</v>
      </c>
    </row>
    <row r="29" customFormat="false" ht="15" hidden="false" customHeight="false" outlineLevel="0" collapsed="false">
      <c r="A29" s="3" t="s">
        <v>10</v>
      </c>
      <c r="B29" s="3" t="s">
        <v>57</v>
      </c>
      <c r="C29" s="37" t="n">
        <v>1500000</v>
      </c>
      <c r="D29" s="38" t="n">
        <v>3</v>
      </c>
      <c r="E29" s="39" t="n">
        <v>0</v>
      </c>
      <c r="F29" s="39" t="n">
        <v>0</v>
      </c>
      <c r="G29" s="39" t="n">
        <v>1</v>
      </c>
      <c r="H29" s="39" t="n">
        <v>0</v>
      </c>
      <c r="I29" s="39" t="n">
        <v>0</v>
      </c>
      <c r="J29" s="39" t="n">
        <v>0</v>
      </c>
      <c r="K29" s="39" t="n">
        <v>0</v>
      </c>
      <c r="L29" s="39" t="n">
        <v>0</v>
      </c>
      <c r="M29" s="39" t="n">
        <v>0</v>
      </c>
      <c r="N29" s="39" t="n">
        <v>0</v>
      </c>
      <c r="O29" s="39" t="n">
        <v>0</v>
      </c>
      <c r="P29" s="39" t="n">
        <v>0</v>
      </c>
      <c r="Q29" s="40" t="n">
        <f aca="false">SUM(E29:P29)</f>
        <v>1</v>
      </c>
      <c r="R29" s="41" t="s">
        <v>122</v>
      </c>
    </row>
    <row r="30" customFormat="false" ht="15" hidden="false" customHeight="false" outlineLevel="0" collapsed="false">
      <c r="A30" s="3" t="s">
        <v>10</v>
      </c>
      <c r="B30" s="3" t="s">
        <v>58</v>
      </c>
      <c r="C30" s="37" t="n">
        <v>2500000</v>
      </c>
      <c r="D30" s="38" t="n">
        <v>3.8</v>
      </c>
      <c r="E30" s="39" t="n">
        <v>0</v>
      </c>
      <c r="F30" s="39" t="n">
        <v>0</v>
      </c>
      <c r="G30" s="39" t="n">
        <v>0</v>
      </c>
      <c r="H30" s="39" t="n">
        <v>0</v>
      </c>
      <c r="I30" s="39" t="n">
        <v>1</v>
      </c>
      <c r="J30" s="39" t="n">
        <v>0</v>
      </c>
      <c r="K30" s="39" t="n">
        <v>0</v>
      </c>
      <c r="L30" s="39" t="n">
        <v>0</v>
      </c>
      <c r="M30" s="39" t="n">
        <v>0</v>
      </c>
      <c r="N30" s="39" t="n">
        <v>0</v>
      </c>
      <c r="O30" s="39" t="n">
        <v>0</v>
      </c>
      <c r="P30" s="39" t="n">
        <v>0</v>
      </c>
      <c r="Q30" s="40" t="n">
        <f aca="false">SUM(E30:P30)</f>
        <v>1</v>
      </c>
      <c r="R30" s="41" t="s">
        <v>123</v>
      </c>
    </row>
    <row r="31" customFormat="false" ht="15" hidden="false" customHeight="false" outlineLevel="0" collapsed="false">
      <c r="A31" s="3" t="s">
        <v>10</v>
      </c>
      <c r="B31" s="3" t="s">
        <v>59</v>
      </c>
      <c r="C31" s="37" t="n">
        <v>2000000</v>
      </c>
      <c r="D31" s="38" t="n">
        <v>3.6</v>
      </c>
      <c r="E31" s="39" t="n">
        <v>0</v>
      </c>
      <c r="F31" s="39" t="n">
        <v>0</v>
      </c>
      <c r="G31" s="39" t="n">
        <v>0</v>
      </c>
      <c r="H31" s="39" t="n">
        <v>0</v>
      </c>
      <c r="I31" s="39" t="n">
        <v>0</v>
      </c>
      <c r="J31" s="39" t="n">
        <v>1</v>
      </c>
      <c r="K31" s="39" t="n">
        <v>0</v>
      </c>
      <c r="L31" s="39" t="n">
        <v>0</v>
      </c>
      <c r="M31" s="39" t="n">
        <v>0</v>
      </c>
      <c r="N31" s="39" t="n">
        <v>0</v>
      </c>
      <c r="O31" s="39" t="n">
        <v>0</v>
      </c>
      <c r="P31" s="39" t="n">
        <v>0</v>
      </c>
      <c r="Q31" s="40" t="n">
        <f aca="false">SUM(E31:P31)</f>
        <v>1</v>
      </c>
      <c r="R31" s="41" t="s">
        <v>124</v>
      </c>
    </row>
    <row r="32" customFormat="false" ht="15" hidden="false" customHeight="false" outlineLevel="0" collapsed="false">
      <c r="A32" s="3" t="s">
        <v>10</v>
      </c>
      <c r="B32" s="3" t="s">
        <v>60</v>
      </c>
      <c r="C32" s="37" t="n">
        <v>2000000</v>
      </c>
      <c r="D32" s="38" t="n">
        <v>3.5</v>
      </c>
      <c r="E32" s="39" t="n">
        <v>0</v>
      </c>
      <c r="F32" s="39" t="n">
        <v>0</v>
      </c>
      <c r="G32" s="39" t="n">
        <v>0</v>
      </c>
      <c r="H32" s="39" t="n">
        <v>0</v>
      </c>
      <c r="I32" s="39" t="n">
        <v>0</v>
      </c>
      <c r="J32" s="39" t="n">
        <v>0</v>
      </c>
      <c r="K32" s="39" t="n">
        <v>1</v>
      </c>
      <c r="L32" s="39" t="n">
        <v>0</v>
      </c>
      <c r="M32" s="39" t="n">
        <v>0</v>
      </c>
      <c r="N32" s="39" t="n">
        <v>0</v>
      </c>
      <c r="O32" s="39" t="n">
        <v>0</v>
      </c>
      <c r="P32" s="39" t="n">
        <v>0</v>
      </c>
      <c r="Q32" s="40" t="n">
        <f aca="false">SUM(E32:P32)</f>
        <v>1</v>
      </c>
      <c r="R32" s="41" t="s">
        <v>125</v>
      </c>
    </row>
    <row r="33" customFormat="false" ht="15" hidden="false" customHeight="false" outlineLevel="0" collapsed="false">
      <c r="A33" s="3" t="s">
        <v>10</v>
      </c>
      <c r="B33" s="3" t="s">
        <v>61</v>
      </c>
      <c r="C33" s="37" t="n">
        <v>2200000</v>
      </c>
      <c r="D33" s="38" t="n">
        <v>4</v>
      </c>
      <c r="E33" s="39" t="n">
        <v>0</v>
      </c>
      <c r="F33" s="39" t="n">
        <v>0</v>
      </c>
      <c r="G33" s="39" t="n">
        <v>0</v>
      </c>
      <c r="H33" s="39" t="n">
        <v>0</v>
      </c>
      <c r="I33" s="39" t="n">
        <v>0</v>
      </c>
      <c r="J33" s="39" t="n">
        <v>0</v>
      </c>
      <c r="K33" s="39" t="n">
        <v>0</v>
      </c>
      <c r="L33" s="39" t="n">
        <v>0</v>
      </c>
      <c r="M33" s="39" t="n">
        <v>1</v>
      </c>
      <c r="N33" s="39" t="n">
        <v>0</v>
      </c>
      <c r="O33" s="39" t="n">
        <v>0</v>
      </c>
      <c r="P33" s="39" t="n">
        <v>0</v>
      </c>
      <c r="Q33" s="40" t="n">
        <f aca="false">SUM(E33:P33)</f>
        <v>1</v>
      </c>
      <c r="R33" s="41" t="s">
        <v>126</v>
      </c>
    </row>
    <row r="34" customFormat="false" ht="15" hidden="false" customHeight="false" outlineLevel="0" collapsed="false">
      <c r="A34" s="3" t="s">
        <v>10</v>
      </c>
      <c r="B34" s="3" t="s">
        <v>62</v>
      </c>
      <c r="C34" s="37" t="n">
        <v>2500000</v>
      </c>
      <c r="D34" s="38" t="n">
        <v>3.2</v>
      </c>
      <c r="E34" s="39" t="n">
        <v>0</v>
      </c>
      <c r="F34" s="39" t="n">
        <v>0</v>
      </c>
      <c r="G34" s="39" t="n">
        <v>0</v>
      </c>
      <c r="H34" s="39" t="n">
        <v>0</v>
      </c>
      <c r="I34" s="39" t="n">
        <v>0</v>
      </c>
      <c r="J34" s="39" t="n">
        <v>0</v>
      </c>
      <c r="K34" s="39" t="n">
        <v>0</v>
      </c>
      <c r="L34" s="39" t="n">
        <v>0</v>
      </c>
      <c r="M34" s="39" t="n">
        <v>0</v>
      </c>
      <c r="N34" s="39" t="n">
        <v>1</v>
      </c>
      <c r="O34" s="39" t="n">
        <v>0</v>
      </c>
      <c r="P34" s="39" t="n">
        <v>0</v>
      </c>
      <c r="Q34" s="40" t="n">
        <f aca="false">SUM(E34:P34)</f>
        <v>1</v>
      </c>
      <c r="R34" s="41" t="s">
        <v>127</v>
      </c>
    </row>
    <row r="35" customFormat="false" ht="15" hidden="false" customHeight="false" outlineLevel="0" collapsed="false">
      <c r="A35" s="3" t="s">
        <v>10</v>
      </c>
      <c r="B35" s="3" t="s">
        <v>63</v>
      </c>
      <c r="C35" s="37" t="n">
        <v>2000000</v>
      </c>
      <c r="D35" s="38" t="n">
        <v>4.5</v>
      </c>
      <c r="E35" s="39" t="n">
        <v>0</v>
      </c>
      <c r="F35" s="39" t="n">
        <v>0</v>
      </c>
      <c r="G35" s="39" t="n">
        <v>0</v>
      </c>
      <c r="H35" s="39" t="n">
        <v>0</v>
      </c>
      <c r="I35" s="39" t="n">
        <v>0</v>
      </c>
      <c r="J35" s="39" t="n">
        <v>0</v>
      </c>
      <c r="K35" s="39" t="n">
        <v>0</v>
      </c>
      <c r="L35" s="39" t="n">
        <v>0</v>
      </c>
      <c r="M35" s="39" t="n">
        <v>0</v>
      </c>
      <c r="N35" s="39" t="n">
        <v>0</v>
      </c>
      <c r="O35" s="39" t="n">
        <v>1</v>
      </c>
      <c r="P35" s="39" t="n">
        <v>0</v>
      </c>
      <c r="Q35" s="40" t="n">
        <f aca="false">SUM(E35:P35)</f>
        <v>1</v>
      </c>
      <c r="R35" s="41" t="s">
        <v>128</v>
      </c>
    </row>
    <row r="36" customFormat="false" ht="15" hidden="false" customHeight="false" outlineLevel="0" collapsed="false">
      <c r="A36" s="3" t="s">
        <v>10</v>
      </c>
      <c r="B36" s="3" t="s">
        <v>64</v>
      </c>
      <c r="C36" s="37" t="n">
        <v>3500000</v>
      </c>
      <c r="D36" s="38" t="n">
        <v>5</v>
      </c>
      <c r="E36" s="39" t="n">
        <v>0</v>
      </c>
      <c r="F36" s="39" t="n">
        <v>0</v>
      </c>
      <c r="G36" s="39" t="n">
        <v>0</v>
      </c>
      <c r="H36" s="39" t="n">
        <v>0</v>
      </c>
      <c r="I36" s="39" t="n">
        <v>0</v>
      </c>
      <c r="J36" s="39" t="n">
        <v>0</v>
      </c>
      <c r="K36" s="39" t="n">
        <v>0</v>
      </c>
      <c r="L36" s="39" t="n">
        <v>0</v>
      </c>
      <c r="M36" s="39" t="n">
        <v>0</v>
      </c>
      <c r="N36" s="39" t="n">
        <v>0</v>
      </c>
      <c r="O36" s="39" t="n">
        <v>0</v>
      </c>
      <c r="P36" s="39" t="n">
        <v>1</v>
      </c>
      <c r="Q36" s="40" t="n">
        <f aca="false">SUM(E36:P36)</f>
        <v>1</v>
      </c>
      <c r="R36" s="41" t="s">
        <v>129</v>
      </c>
    </row>
    <row r="37" customFormat="false" ht="15" hidden="false" customHeight="false" outlineLevel="0" collapsed="false">
      <c r="A37" s="3" t="s">
        <v>11</v>
      </c>
      <c r="B37" s="3" t="s">
        <v>66</v>
      </c>
      <c r="C37" s="37" t="n">
        <v>2000000</v>
      </c>
      <c r="D37" s="38" t="n">
        <v>3</v>
      </c>
      <c r="E37" s="39" t="n">
        <v>0</v>
      </c>
      <c r="F37" s="39" t="n">
        <v>1</v>
      </c>
      <c r="G37" s="39" t="n">
        <v>0</v>
      </c>
      <c r="H37" s="39" t="n">
        <v>0</v>
      </c>
      <c r="I37" s="39" t="n">
        <v>0</v>
      </c>
      <c r="J37" s="39" t="n">
        <v>0</v>
      </c>
      <c r="K37" s="39" t="n">
        <v>0</v>
      </c>
      <c r="L37" s="39" t="n">
        <v>1</v>
      </c>
      <c r="M37" s="39" t="n">
        <v>0</v>
      </c>
      <c r="N37" s="39" t="n">
        <v>0</v>
      </c>
      <c r="O37" s="39" t="n">
        <v>0</v>
      </c>
      <c r="P37" s="39" t="n">
        <v>0</v>
      </c>
      <c r="Q37" s="40" t="n">
        <f aca="false">SUM(E37:P37)</f>
        <v>2</v>
      </c>
      <c r="R37" s="41" t="s">
        <v>130</v>
      </c>
    </row>
    <row r="38" customFormat="false" ht="15" hidden="false" customHeight="false" outlineLevel="0" collapsed="false">
      <c r="A38" s="3" t="s">
        <v>11</v>
      </c>
      <c r="B38" s="3" t="s">
        <v>67</v>
      </c>
      <c r="C38" s="37" t="n">
        <v>3000000</v>
      </c>
      <c r="D38" s="38" t="n">
        <v>2.8</v>
      </c>
      <c r="E38" s="39" t="n">
        <v>0</v>
      </c>
      <c r="F38" s="39" t="n">
        <v>0</v>
      </c>
      <c r="G38" s="39" t="n">
        <v>1</v>
      </c>
      <c r="H38" s="39" t="n">
        <v>1</v>
      </c>
      <c r="I38" s="39" t="n">
        <v>1</v>
      </c>
      <c r="J38" s="39" t="n">
        <v>0</v>
      </c>
      <c r="K38" s="39" t="n">
        <v>0</v>
      </c>
      <c r="L38" s="39" t="n">
        <v>0</v>
      </c>
      <c r="M38" s="39" t="n">
        <v>0</v>
      </c>
      <c r="N38" s="39" t="n">
        <v>0</v>
      </c>
      <c r="O38" s="39" t="n">
        <v>0</v>
      </c>
      <c r="P38" s="39" t="n">
        <v>0</v>
      </c>
      <c r="Q38" s="40" t="n">
        <f aca="false">SUM(E38:P38)</f>
        <v>3</v>
      </c>
      <c r="R38" s="41" t="s">
        <v>131</v>
      </c>
    </row>
    <row r="39" customFormat="false" ht="15" hidden="false" customHeight="false" outlineLevel="0" collapsed="false">
      <c r="A39" s="3" t="s">
        <v>11</v>
      </c>
      <c r="B39" s="3" t="s">
        <v>68</v>
      </c>
      <c r="C39" s="37" t="n">
        <v>1500000</v>
      </c>
      <c r="D39" s="38" t="n">
        <v>3</v>
      </c>
      <c r="E39" s="39" t="n">
        <v>0</v>
      </c>
      <c r="F39" s="39" t="n">
        <v>0</v>
      </c>
      <c r="G39" s="39" t="n">
        <v>0</v>
      </c>
      <c r="H39" s="39" t="n">
        <v>0</v>
      </c>
      <c r="I39" s="39" t="n">
        <v>1</v>
      </c>
      <c r="J39" s="39" t="n">
        <v>0</v>
      </c>
      <c r="K39" s="39" t="n">
        <v>0</v>
      </c>
      <c r="L39" s="39" t="n">
        <v>0</v>
      </c>
      <c r="M39" s="39" t="n">
        <v>0</v>
      </c>
      <c r="N39" s="39" t="n">
        <v>0</v>
      </c>
      <c r="O39" s="39" t="n">
        <v>0</v>
      </c>
      <c r="P39" s="39" t="n">
        <v>0</v>
      </c>
      <c r="Q39" s="40" t="n">
        <f aca="false">SUM(E39:P39)</f>
        <v>1</v>
      </c>
      <c r="R39" s="41" t="s">
        <v>132</v>
      </c>
    </row>
    <row r="40" customFormat="false" ht="15" hidden="false" customHeight="false" outlineLevel="0" collapsed="false">
      <c r="A40" s="3" t="s">
        <v>11</v>
      </c>
      <c r="B40" s="3" t="s">
        <v>69</v>
      </c>
      <c r="C40" s="37" t="n">
        <v>2500000</v>
      </c>
      <c r="D40" s="38" t="n">
        <v>2.5</v>
      </c>
      <c r="E40" s="39" t="n">
        <v>0</v>
      </c>
      <c r="F40" s="39" t="n">
        <v>0</v>
      </c>
      <c r="G40" s="39" t="n">
        <v>0</v>
      </c>
      <c r="H40" s="39" t="n">
        <v>0</v>
      </c>
      <c r="I40" s="39" t="n">
        <v>0</v>
      </c>
      <c r="J40" s="39" t="n">
        <v>0</v>
      </c>
      <c r="K40" s="39" t="n">
        <v>0</v>
      </c>
      <c r="L40" s="39" t="n">
        <v>1</v>
      </c>
      <c r="M40" s="39" t="n">
        <v>1</v>
      </c>
      <c r="N40" s="39" t="n">
        <v>0</v>
      </c>
      <c r="O40" s="39" t="n">
        <v>0</v>
      </c>
      <c r="P40" s="39" t="n">
        <v>0</v>
      </c>
      <c r="Q40" s="40" t="n">
        <f aca="false">SUM(E40:P40)</f>
        <v>2</v>
      </c>
      <c r="R40" s="41" t="s">
        <v>133</v>
      </c>
    </row>
    <row r="41" customFormat="false" ht="15" hidden="false" customHeight="false" outlineLevel="0" collapsed="false">
      <c r="A41" s="3" t="s">
        <v>11</v>
      </c>
      <c r="B41" s="3" t="s">
        <v>70</v>
      </c>
      <c r="C41" s="37" t="n">
        <v>1800000</v>
      </c>
      <c r="D41" s="38" t="n">
        <v>1.8</v>
      </c>
      <c r="E41" s="39" t="n">
        <v>0</v>
      </c>
      <c r="F41" s="39" t="n">
        <v>0</v>
      </c>
      <c r="G41" s="39" t="n">
        <v>0</v>
      </c>
      <c r="H41" s="39" t="n">
        <v>0</v>
      </c>
      <c r="I41" s="39" t="n">
        <v>0</v>
      </c>
      <c r="J41" s="39" t="n">
        <v>0</v>
      </c>
      <c r="K41" s="39" t="n">
        <v>0</v>
      </c>
      <c r="L41" s="39" t="n">
        <v>0</v>
      </c>
      <c r="M41" s="39" t="n">
        <v>0</v>
      </c>
      <c r="N41" s="39" t="n">
        <v>1</v>
      </c>
      <c r="O41" s="39" t="n">
        <v>1</v>
      </c>
      <c r="P41" s="39" t="n">
        <v>0</v>
      </c>
      <c r="Q41" s="40" t="n">
        <f aca="false">SUM(E41:P41)</f>
        <v>2</v>
      </c>
      <c r="R41" s="41" t="s">
        <v>134</v>
      </c>
    </row>
    <row r="42" customFormat="false" ht="23.85" hidden="false" customHeight="false" outlineLevel="0" collapsed="false">
      <c r="A42" s="3" t="s">
        <v>12</v>
      </c>
      <c r="B42" s="3" t="s">
        <v>72</v>
      </c>
      <c r="C42" s="37" t="n">
        <v>3000000</v>
      </c>
      <c r="D42" s="38" t="n">
        <v>3</v>
      </c>
      <c r="E42" s="39" t="n">
        <v>0</v>
      </c>
      <c r="F42" s="39" t="n">
        <v>0</v>
      </c>
      <c r="G42" s="39" t="n">
        <v>0</v>
      </c>
      <c r="H42" s="39" t="n">
        <v>0</v>
      </c>
      <c r="I42" s="39" t="n">
        <v>0</v>
      </c>
      <c r="J42" s="39" t="n">
        <v>1</v>
      </c>
      <c r="K42" s="39" t="n">
        <v>1</v>
      </c>
      <c r="L42" s="39" t="n">
        <v>1</v>
      </c>
      <c r="M42" s="39" t="n">
        <v>0</v>
      </c>
      <c r="N42" s="39" t="n">
        <v>0</v>
      </c>
      <c r="O42" s="39" t="n">
        <v>0</v>
      </c>
      <c r="P42" s="39" t="n">
        <v>0</v>
      </c>
      <c r="Q42" s="40" t="n">
        <f aca="false">SUM(E42:P42)</f>
        <v>3</v>
      </c>
      <c r="R42" s="41" t="s">
        <v>135</v>
      </c>
    </row>
    <row r="43" customFormat="false" ht="15" hidden="false" customHeight="false" outlineLevel="0" collapsed="false">
      <c r="A43" s="3" t="s">
        <v>13</v>
      </c>
      <c r="B43" s="3" t="s">
        <v>74</v>
      </c>
      <c r="C43" s="37" t="n">
        <v>1500000</v>
      </c>
      <c r="D43" s="38" t="n">
        <v>2.2</v>
      </c>
      <c r="E43" s="39" t="n">
        <v>0</v>
      </c>
      <c r="F43" s="39" t="n">
        <v>0</v>
      </c>
      <c r="G43" s="39" t="n">
        <v>1</v>
      </c>
      <c r="H43" s="39" t="n">
        <v>1</v>
      </c>
      <c r="I43" s="39" t="n">
        <v>0</v>
      </c>
      <c r="J43" s="39" t="n">
        <v>0</v>
      </c>
      <c r="K43" s="39" t="n">
        <v>0</v>
      </c>
      <c r="L43" s="39" t="n">
        <v>0</v>
      </c>
      <c r="M43" s="39" t="n">
        <v>0</v>
      </c>
      <c r="N43" s="39" t="n">
        <v>0</v>
      </c>
      <c r="O43" s="39" t="n">
        <v>0</v>
      </c>
      <c r="P43" s="39" t="n">
        <v>0</v>
      </c>
      <c r="Q43" s="40" t="n">
        <f aca="false">SUM(E43:P43)</f>
        <v>2</v>
      </c>
      <c r="R43" s="41" t="s">
        <v>136</v>
      </c>
    </row>
    <row r="44" customFormat="false" ht="15" hidden="false" customHeight="false" outlineLevel="0" collapsed="false">
      <c r="A44" s="3" t="s">
        <v>13</v>
      </c>
      <c r="B44" s="3" t="s">
        <v>75</v>
      </c>
      <c r="C44" s="37" t="n">
        <v>1800000</v>
      </c>
      <c r="D44" s="38" t="n">
        <v>2.4</v>
      </c>
      <c r="E44" s="39" t="n">
        <v>0</v>
      </c>
      <c r="F44" s="39" t="n">
        <v>0</v>
      </c>
      <c r="G44" s="39" t="n">
        <v>0</v>
      </c>
      <c r="H44" s="39" t="n">
        <v>0</v>
      </c>
      <c r="I44" s="39" t="n">
        <v>0</v>
      </c>
      <c r="J44" s="39" t="n">
        <v>1</v>
      </c>
      <c r="K44" s="39" t="n">
        <v>1</v>
      </c>
      <c r="L44" s="39" t="n">
        <v>0</v>
      </c>
      <c r="M44" s="39" t="n">
        <v>0</v>
      </c>
      <c r="N44" s="39" t="n">
        <v>0</v>
      </c>
      <c r="O44" s="39" t="n">
        <v>0</v>
      </c>
      <c r="P44" s="39" t="n">
        <v>0</v>
      </c>
      <c r="Q44" s="40" t="n">
        <f aca="false">SUM(E44:P44)</f>
        <v>2</v>
      </c>
      <c r="R44" s="41" t="s">
        <v>137</v>
      </c>
    </row>
    <row r="45" customFormat="false" ht="15" hidden="false" customHeight="false" outlineLevel="0" collapsed="false">
      <c r="A45" s="42" t="s">
        <v>138</v>
      </c>
      <c r="B45" s="43" t="s">
        <v>139</v>
      </c>
      <c r="C45" s="44" t="n">
        <f aca="false">SUM(C12:C44)</f>
        <v>145700000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</sheetData>
  <mergeCells count="5">
    <mergeCell ref="A1:R1"/>
    <mergeCell ref="C3:R3"/>
    <mergeCell ref="A5:R5"/>
    <mergeCell ref="B8:R8"/>
    <mergeCell ref="A10:R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2026-09-22T01:08:09Z</dcterms:created>
  <dc:creator>openpyxl</dc:creator>
  <dc:description/>
  <dc:language>en-US</dc:language>
  <cp:lastModifiedBy/>
  <dcterms:modified xsi:type="dcterms:W3CDTF">2026-09-22T01:08:10Z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