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0" autoFilterDateGrouping="1"/>
  </bookViews>
  <sheets>
    <sheet xmlns:r="http://schemas.openxmlformats.org/officeDocument/2006/relationships" name="IFE Matrix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i val="1"/>
      <color rgb="FF808080"/>
      <sz val="8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3" borderId="1" pivotButton="0" quotePrefix="0" xfId="0"/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2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2" fontId="4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328125" defaultRowHeight="14.5"/>
  <cols>
    <col width="5" customWidth="1" min="1" max="1"/>
    <col width="80" customWidth="1" min="2" max="2"/>
    <col width="14" customWidth="1" min="3" max="5"/>
  </cols>
  <sheetData>
    <row r="1" ht="18" customHeight="1">
      <c r="A1" s="4" t="inlineStr">
        <is>
          <t>3.9 Internal Factor Evaluation (IFE) Matrix · Döner Street</t>
        </is>
      </c>
    </row>
    <row r="2" ht="27.75" customHeight="1">
      <c r="A2" s="3" t="inlineStr">
        <is>
          <t>Weights: 0.0 (not important) to 1.0 (all-important), must sum to 1.00. Ratings: 1 = major weakness, 2 = minor weakness, 3 = minor strength, 4 = major strength (David, Ch. 4). Blue cells are inputs.</t>
        </is>
      </c>
    </row>
    <row r="4">
      <c r="A4" s="5" t="inlineStr">
        <is>
          <t>#</t>
        </is>
      </c>
      <c r="B4" s="5" t="inlineStr">
        <is>
          <t>Key Internal Factors</t>
        </is>
      </c>
      <c r="C4" s="5" t="inlineStr">
        <is>
          <t>Weight</t>
        </is>
      </c>
      <c r="D4" s="5" t="inlineStr">
        <is>
          <t>Rating</t>
        </is>
      </c>
      <c r="E4" s="5" t="inlineStr">
        <is>
          <t>Weighted Score</t>
        </is>
      </c>
    </row>
    <row r="5">
      <c r="A5" s="2" t="inlineStr">
        <is>
          <t>Strengths</t>
        </is>
      </c>
      <c r="B5" s="17" t="n"/>
      <c r="C5" s="17" t="n"/>
      <c r="D5" s="17" t="n"/>
      <c r="E5" s="18" t="n"/>
    </row>
    <row r="6" ht="45" customHeight="1">
      <c r="A6" s="6" t="n">
        <v>1</v>
      </c>
      <c r="B6" s="7" t="inlineStr">
        <is>
          <t>Fast service with a planned &gt;2 min assembly per order (Medium Combo, 3.6.1) and ~810 units/day capacity (3.4.2)</t>
        </is>
      </c>
      <c r="C6" s="8" t="n">
        <v>0.14</v>
      </c>
      <c r="D6" s="9" t="n">
        <v>4</v>
      </c>
      <c r="E6" s="10">
        <f>C6*D6</f>
        <v/>
      </c>
    </row>
    <row r="7" ht="45" customHeight="1">
      <c r="A7" s="6" t="n">
        <v>2</v>
      </c>
      <c r="B7" s="7" t="inlineStr">
        <is>
          <t>Store on the Calle 72 corridor next to the new Metro Line 1 and TransMilenio station, a node under redevelopment (Decreto 242/2026) where none of the three rivals is located (2.2.1, 2.5)</t>
        </is>
      </c>
      <c r="C7" s="8" t="n">
        <v>0.11</v>
      </c>
      <c r="D7" s="9" t="n">
        <v>3</v>
      </c>
      <c r="E7" s="10">
        <f>C7*D7</f>
        <v/>
      </c>
    </row>
    <row r="8" ht="45" customHeight="1">
      <c r="A8" s="6" t="n">
        <v>3</v>
      </c>
      <c r="B8" s="7" t="inlineStr">
        <is>
          <t>Healthier than conventional fast food, with fresh lettuce, tomato and onion in every döner and meat roasted on a vertical rotisserie instead of deep-fried (3.4.2)</t>
        </is>
      </c>
      <c r="C8" s="8" t="n">
        <v>0.09</v>
      </c>
      <c r="D8" s="9" t="n">
        <v>3</v>
      </c>
      <c r="E8" s="10">
        <f>C8*D8</f>
        <v/>
      </c>
    </row>
    <row r="9" ht="45" customHeight="1">
      <c r="A9" s="6" t="n">
        <v>4</v>
      </c>
      <c r="B9" s="7" t="inlineStr">
        <is>
          <t>Lean processes around one core product allow fast onboarding, as associates need no degree and learn every station through on-the-job cross-training (3.3.2)</t>
        </is>
      </c>
      <c r="C9" s="8" t="n">
        <v>0.07000000000000001</v>
      </c>
      <c r="D9" s="9" t="n">
        <v>3</v>
      </c>
      <c r="E9" s="10">
        <f>C9*D9</f>
        <v/>
      </c>
    </row>
    <row r="10" ht="45" customHeight="1">
      <c r="A10" s="6" t="n">
        <v>5</v>
      </c>
      <c r="B10" s="7" t="inlineStr">
        <is>
          <t>Standardized product with defined portions, costs and assembly steps makes the concept easy to replicate at further locations (3.4.2)</t>
        </is>
      </c>
      <c r="C10" s="8" t="n">
        <v>0.07000000000000001</v>
      </c>
      <c r="D10" s="9" t="n">
        <v>3</v>
      </c>
      <c r="E10" s="10">
        <f>C10*D10</f>
        <v/>
      </c>
    </row>
    <row r="11">
      <c r="A11" s="2" t="inlineStr">
        <is>
          <t>Weaknesses</t>
        </is>
      </c>
      <c r="B11" s="17" t="n"/>
      <c r="C11" s="17" t="n"/>
      <c r="D11" s="17" t="n"/>
      <c r="E11" s="18" t="n"/>
    </row>
    <row r="12" ht="45" customHeight="1">
      <c r="A12" s="6" t="n">
        <v>1</v>
      </c>
      <c r="B12" s="7" t="inlineStr">
        <is>
          <t>Unknown brand with no reviews yet vs. Filiák's 4.8 rating (2.5.3)</t>
        </is>
      </c>
      <c r="C12" s="8" t="n">
        <v>0.14</v>
      </c>
      <c r="D12" s="9" t="n">
        <v>1</v>
      </c>
      <c r="E12" s="10">
        <f>C12*D12</f>
        <v/>
      </c>
    </row>
    <row r="13" ht="45" customHeight="1">
      <c r="A13" s="6" t="n">
        <v>2</v>
      </c>
      <c r="B13" s="7" t="inlineStr">
        <is>
          <t>No proprietary recipe, the product follows a standard döner recipe</t>
        </is>
      </c>
      <c r="C13" s="8" t="n">
        <v>0.11</v>
      </c>
      <c r="D13" s="9" t="n">
        <v>2</v>
      </c>
      <c r="E13" s="10">
        <f>C13*D13</f>
        <v/>
      </c>
    </row>
    <row r="14" ht="45" customHeight="1">
      <c r="A14" s="6" t="n">
        <v>3</v>
      </c>
      <c r="B14" s="7" t="inlineStr">
        <is>
          <t>No operating track record, all sales and marketing figures are forecasts (3.4.5)</t>
        </is>
      </c>
      <c r="C14" s="8" t="n">
        <v>0.1</v>
      </c>
      <c r="D14" s="9" t="n">
        <v>2</v>
      </c>
      <c r="E14" s="10">
        <f>C14*D14</f>
        <v/>
      </c>
    </row>
    <row r="15" ht="45" customHeight="1">
      <c r="A15" s="6" t="n">
        <v>4</v>
      </c>
      <c r="B15" s="7" t="inlineStr">
        <is>
          <t>No own delivery service, so delivery orders depend on aggregator apps charging 18% to 30% commission per order (2.4.1, 3.4.4)</t>
        </is>
      </c>
      <c r="C15" s="8" t="n">
        <v>0.07000000000000001</v>
      </c>
      <c r="D15" s="9" t="n">
        <v>2</v>
      </c>
      <c r="E15" s="10">
        <f>C15*D15</f>
        <v/>
      </c>
    </row>
    <row r="16" ht="45" customHeight="1">
      <c r="A16" t="n">
        <v>5</v>
      </c>
      <c r="B16" t="inlineStr">
        <is>
          <t>Organic content posts only twice a week (Tuesdays &amp; Fridays, 104 days/year), limiting organic reach during the launch ramp-up versus daily-posting rivals (3.4.4)</t>
        </is>
      </c>
      <c r="C16" t="n">
        <v>0.04</v>
      </c>
      <c r="D16" t="n">
        <v>2</v>
      </c>
      <c r="E16">
        <f>C16*D16</f>
        <v/>
      </c>
    </row>
    <row r="17">
      <c r="A17" t="n">
        <v>6</v>
      </c>
      <c r="B17" t="inlineStr">
        <is>
          <t>Single Store Manager per store with no assistant, so days off or illness leave shift-level staff handling escalations meant for the store manager (3.3.2, 3.4.3)</t>
        </is>
      </c>
      <c r="C17" t="n">
        <v>0.03</v>
      </c>
      <c r="D17" t="n">
        <v>2</v>
      </c>
      <c r="E17">
        <f>C17*D17</f>
        <v/>
      </c>
    </row>
    <row r="18">
      <c r="A18" t="n">
        <v>7</v>
      </c>
      <c r="B18" t="inlineStr">
        <is>
          <t>100% equity-funded with no external line of credit, so the pessimistic scenario's forced overdraft has no financing backstop (3.5.1)</t>
        </is>
      </c>
      <c r="C18" t="n">
        <v>0.03</v>
      </c>
      <c r="D18" t="n">
        <v>2</v>
      </c>
      <c r="E18">
        <f>C18*D18</f>
        <v/>
      </c>
    </row>
    <row r="19">
      <c r="A19" s="11" t="n"/>
      <c r="B19" s="12" t="inlineStr">
        <is>
          <t>Total</t>
        </is>
      </c>
      <c r="C19" s="13">
        <f>SUM(C6:C18)</f>
        <v/>
      </c>
      <c r="D19" s="11" t="n"/>
      <c r="E19" s="13">
        <f>SUM(E6:E18)</f>
        <v/>
      </c>
    </row>
    <row r="20">
      <c r="B20" s="14">
        <f>IF(ROUND(C19,2)=1,"Check: weights sum to 1.00","Check: weights must sum to 1.00")</f>
        <v/>
      </c>
    </row>
    <row r="21">
      <c r="B21" s="14">
        <f>IF(E19&gt;=2.5,"Score at or above the 2.5 average: internal position average to strong","Score below the 2.5 average: internal position slightly weak")</f>
        <v/>
      </c>
    </row>
    <row r="22" ht="60" customHeight="1"/>
    <row r="23">
      <c r="A23" s="15" t="inlineStr">
        <is>
          <t>Interpretation</t>
        </is>
      </c>
    </row>
    <row r="24">
      <c r="A24" s="1" t="inlineStr">
        <is>
          <t>With a total weighted score of 2.48, Döner Street's internal position is just below the average of 2.5. Its main strengths are fast service, a location on the redeveloped Calle 72 corridor and a lean, easily replicable concept. They are offset by the typical weaknesses of a new business, above all an unknown brand, no proprietary recipe and a concentrated marketing/finance risk profile -- twice-weekly organic content, a single Store Manager with no backup, and no external financing cushion -- on top of the same aggregator-commission weakness that drives the delivery commission line in the 3.5.1 Estado de Resultados.</t>
        </is>
      </c>
    </row>
    <row r="25">
      <c r="A25" s="16" t="inlineStr">
        <is>
          <t>Source: Fred R. David, Strategic Management, Ch. 4, IFE Matrix; section numbers refer to doner-house-seven.vercel.app</t>
        </is>
      </c>
    </row>
  </sheetData>
  <mergeCells count="4">
    <mergeCell ref="A2:E2"/>
    <mergeCell ref="A11:E11"/>
    <mergeCell ref="A22:E22"/>
    <mergeCell ref="A5:E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2026-09-28T20:03:15Z</dcterms:created>
  <dcterms:modified xmlns:dcterms="http://purl.org/dc/terms/" xmlns:xsi="http://www.w3.org/2001/XMLSchema-instance" xsi:type="dcterms:W3CDTF">2026-09-29T16:22:48Z</dcterms:modified>
  <cp:lastModifiedBy>Carlo Twyrdy</cp:lastModifiedBy>
  <cp:revision>0</cp:revision>
</cp:coreProperties>
</file>