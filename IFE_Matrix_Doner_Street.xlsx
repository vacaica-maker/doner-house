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1" fillId="4" borderId="0" pivotButton="0" quotePrefix="0" xfId="0"/>
    <xf numFmtId="2" fontId="1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4" customWidth="1" min="3" max="3"/>
    <col width="10" customWidth="1" min="4" max="4"/>
    <col width="16" customWidth="1" min="5" max="5"/>
  </cols>
  <sheetData>
    <row r="1">
      <c r="A1" s="1" t="inlineStr">
        <is>
          <t>3.9 Internal Factor Evaluation (IFE) Matrix · Döner Street</t>
        </is>
      </c>
    </row>
    <row r="2">
      <c r="A2" t="inlineStr">
        <is>
          <t>Weights: 0.0 (not important) to 1.0 (all-important), must sum to 1.00. Ratings: 1 = major weakness, 2 = minor weakness, 3 = minor strength, 4 = major strength (David, Ch. 4). Blue cells are inputs.</t>
        </is>
      </c>
    </row>
    <row r="4">
      <c r="A4" s="2" t="inlineStr">
        <is>
          <t>#</t>
        </is>
      </c>
      <c r="B4" s="2" t="inlineStr">
        <is>
          <t>Key Internal Factors</t>
        </is>
      </c>
      <c r="C4" s="2" t="inlineStr">
        <is>
          <t>Weight</t>
        </is>
      </c>
      <c r="D4" s="2" t="inlineStr">
        <is>
          <t>Rating</t>
        </is>
      </c>
      <c r="E4" s="2" t="inlineStr">
        <is>
          <t>Weighted Score</t>
        </is>
      </c>
    </row>
    <row r="5">
      <c r="A5" s="3" t="inlineStr">
        <is>
          <t>Strengths</t>
        </is>
      </c>
    </row>
    <row r="6">
      <c r="A6" t="n">
        <v>1</v>
      </c>
      <c r="B6" t="inlineStr">
        <is>
          <t>Fresh-to-order assembly line — fries fried per order, not pre-batched (≈10 min per order, Medium Combo, 3.6.1) — with ~168 units/day baseline capacity (3.4.2), enough to cover planned demand in every scenario</t>
        </is>
      </c>
      <c r="C6" s="4" t="n">
        <v>0.13</v>
      </c>
      <c r="D6" t="n">
        <v>4</v>
      </c>
      <c r="E6" s="4">
        <f>C6*D6</f>
        <v/>
      </c>
    </row>
    <row r="7">
      <c r="A7" t="n">
        <v>2</v>
      </c>
      <c r="B7" t="inlineStr">
        <is>
          <t>Store on the Calle 72 corridor next to the new Metro Line 1 and TransMilenio station, a node under redevelopment (Decreto 242/2026) where none of the three rivals is located (2.2.1, 2.5)</t>
        </is>
      </c>
      <c r="C7" s="4" t="n">
        <v>0.1</v>
      </c>
      <c r="D7" t="n">
        <v>3</v>
      </c>
      <c r="E7" s="4">
        <f>C7*D7</f>
        <v/>
      </c>
    </row>
    <row r="8">
      <c r="A8" t="n">
        <v>3</v>
      </c>
      <c r="B8" t="inlineStr">
        <is>
          <t>Dual quality-control checkpoints on the production line — an incoming Receiving &amp; Quality Check on every delivery plus an outgoing per-order Quality Check before packaging — a documented consistency/food-safety control none of the three budget-comparable competitors shows evidence of (2.4.6, 3.6.1)</t>
        </is>
      </c>
      <c r="C8" s="4" t="n">
        <v>0.08</v>
      </c>
      <c r="D8" t="n">
        <v>3</v>
      </c>
      <c r="E8" s="4">
        <f>C8*D8</f>
        <v/>
      </c>
    </row>
    <row r="9">
      <c r="A9" t="n">
        <v>4</v>
      </c>
      <c r="B9" t="inlineStr">
        <is>
          <t>Lean processes around one core product allow fast onboarding, as associates need no degree and learn every station through on-the-job cross-training (3.3.2)</t>
        </is>
      </c>
      <c r="C9" s="4" t="n">
        <v>0.07000000000000001</v>
      </c>
      <c r="D9" t="n">
        <v>3</v>
      </c>
      <c r="E9" s="4">
        <f>C9*D9</f>
        <v/>
      </c>
    </row>
    <row r="10">
      <c r="A10" t="n">
        <v>5</v>
      </c>
      <c r="B10" t="inlineStr">
        <is>
          <t>Standardized product with defined portions, costs and assembly steps makes the concept easy to replicate at further locations (3.4.2)</t>
        </is>
      </c>
      <c r="C10" s="4" t="n">
        <v>0.07000000000000001</v>
      </c>
      <c r="D10" t="n">
        <v>3</v>
      </c>
      <c r="E10" s="4">
        <f>C10*D10</f>
        <v/>
      </c>
    </row>
    <row r="11">
      <c r="A11" t="n">
        <v>6</v>
      </c>
      <c r="B11" t="inlineStr">
        <is>
          <t>Structured, criteria-based hiring and onboarding for Store Managers — scored CV rubric, a practical P&amp;L/leadership assessment, and a 30/60/90-day performance review — builds management quality in from day one (3.3.1, 3.3.2)</t>
        </is>
      </c>
      <c r="C11" s="4" t="n">
        <v>0.06</v>
      </c>
      <c r="D11" t="n">
        <v>3</v>
      </c>
      <c r="E11" s="4">
        <f>C11*D11</f>
        <v/>
      </c>
    </row>
    <row r="12">
      <c r="A12" s="3" t="inlineStr">
        <is>
          <t>Weaknesses</t>
        </is>
      </c>
    </row>
    <row r="13">
      <c r="A13" t="n">
        <v>1</v>
      </c>
      <c r="B13" t="inlineStr">
        <is>
          <t>Unknown brand with no reviews yet vs. Filiák's 4.8 rating (2.5.3)</t>
        </is>
      </c>
      <c r="C13" s="4" t="n">
        <v>0.13</v>
      </c>
      <c r="D13" t="n">
        <v>1</v>
      </c>
      <c r="E13" s="4">
        <f>C13*D13</f>
        <v/>
      </c>
    </row>
    <row r="14">
      <c r="A14" t="n">
        <v>2</v>
      </c>
      <c r="B14" t="inlineStr">
        <is>
          <t>No proprietary recipe, the product follows a standard döner recipe</t>
        </is>
      </c>
      <c r="C14" s="4" t="n">
        <v>0.1</v>
      </c>
      <c r="D14" t="n">
        <v>2</v>
      </c>
      <c r="E14" s="4">
        <f>C14*D14</f>
        <v/>
      </c>
    </row>
    <row r="15">
      <c r="A15" t="n">
        <v>3</v>
      </c>
      <c r="B15" t="inlineStr">
        <is>
          <t>No operating track record, all sales and marketing figures are forecasts (3.4.5)</t>
        </is>
      </c>
      <c r="C15" s="4" t="n">
        <v>0.09</v>
      </c>
      <c r="D15" t="n">
        <v>2</v>
      </c>
      <c r="E15" s="4">
        <f>C15*D15</f>
        <v/>
      </c>
    </row>
    <row r="16">
      <c r="A16" t="n">
        <v>4</v>
      </c>
      <c r="B16" t="inlineStr">
        <is>
          <t>No own delivery service, so delivery orders depend on aggregator apps charging 18% to 30% commission per order (2.4.1, 3.4.4)</t>
        </is>
      </c>
      <c r="C16" s="4" t="n">
        <v>0.07000000000000001</v>
      </c>
      <c r="D16" t="n">
        <v>2</v>
      </c>
      <c r="E16" s="4">
        <f>C16*D16</f>
        <v/>
      </c>
    </row>
    <row r="17">
      <c r="A17" t="n">
        <v>5</v>
      </c>
      <c r="B17" t="inlineStr">
        <is>
          <t>Single Store Manager per store with no assistant, so days off or illness leave shift-level staff handling escalations meant for the store manager (3.3.2, 3.4.3)</t>
        </is>
      </c>
      <c r="C17" s="4" t="n">
        <v>0.05</v>
      </c>
      <c r="D17" t="n">
        <v>2</v>
      </c>
      <c r="E17" s="4">
        <f>C17*D17</f>
        <v/>
      </c>
    </row>
    <row r="18">
      <c r="A18" t="n">
        <v>6</v>
      </c>
      <c r="B18" t="inlineStr">
        <is>
          <t>100% equity-funded with no external line of credit, so the pessimistic scenario's cash shortfall has no financing backstop and would require an emergency owner capital injection (3.5.2)</t>
        </is>
      </c>
      <c r="C18" s="4" t="n">
        <v>0.05</v>
      </c>
      <c r="D18" t="n">
        <v>2</v>
      </c>
      <c r="E18" s="4">
        <f>C18*D18</f>
        <v/>
      </c>
    </row>
    <row r="19">
      <c r="A19" s="5" t="n"/>
      <c r="B19" s="6" t="inlineStr">
        <is>
          <t>Total</t>
        </is>
      </c>
      <c r="C19" s="7">
        <f>SUM(C6:C18)</f>
        <v/>
      </c>
      <c r="D19" s="6" t="n"/>
      <c r="E19" s="7">
        <f>SUM(E6:E18)</f>
        <v/>
      </c>
    </row>
    <row r="20">
      <c r="B20">
        <f>IF(ROUND(C19,2)=1,"Check: weights sum to 1.00","Check: weights must sum to 1.00")</f>
        <v/>
      </c>
    </row>
    <row r="21">
      <c r="B21">
        <f>IF(E19&gt;=2.5,"Score at or above the 2.5 average: internal position average to strong","Score below the 2.5 average: internal position slightly weak")</f>
        <v/>
      </c>
    </row>
    <row r="23">
      <c r="A23" s="1" t="inlineStr">
        <is>
          <t>Interpretation</t>
        </is>
      </c>
    </row>
    <row r="24">
      <c r="A24" s="8" t="inlineStr">
        <is>
          <t>With a total weighted score of 2.51, Döner Street's internal position is just above the average of 2.5. Its main strengths are fast service, a location on the redeveloped Calle 72 corridor, dual incoming/outgoing quality-control checkpoints, a lean and easily replicable concept, and a structured hiring process for Store Managers. They are offset by the typical weaknesses of a new business, above all an unknown brand, no proprietary recipe, and a concentrated marketing/finance risk profile -- a single Store Manager with no backup and no external financing cushion -- on top of the same aggregator-commission weakness that drives the delivery commission line in the 3.5.2 Estado de Resultados.</t>
        </is>
      </c>
    </row>
    <row r="25">
      <c r="A25" t="inlineStr">
        <is>
          <t>Source: Fred R. David, Strategic Management, Ch. 4, IFE Matrix; section numbers refer to the published site</t>
        </is>
      </c>
    </row>
  </sheetData>
  <mergeCells count="7">
    <mergeCell ref="A12:E12"/>
    <mergeCell ref="A24:E24"/>
    <mergeCell ref="A2:E2"/>
    <mergeCell ref="A25:E25"/>
    <mergeCell ref="A1:E1"/>
    <mergeCell ref="A23:E23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2026-10-24T23:17:00Z</dcterms:created>
  <dcterms:modified xmlns:dcterms="http://purl.org/dc/terms/" xmlns:xsi="http://www.w3.org/2001/XMLSchema-instance" xsi:type="dcterms:W3CDTF">2026-10-24T23:17:00Z</dcterms:modified>
</cp:coreProperties>
</file>