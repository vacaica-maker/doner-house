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arlo\Desktop\Digitalisierte Ordner\Arbeit und Beruf\Ausbildungs- und Studiensunterlagen\Master Module\3. Semester\Strategic Management\"/>
    </mc:Choice>
  </mc:AlternateContent>
  <xr:revisionPtr revIDLastSave="0" documentId="8_{0F13D878-73B6-4004-98D4-A0DDF496222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IFE Matrix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2" i="1"/>
  <c r="E13" i="1"/>
  <c r="E14" i="1"/>
  <c r="E15" i="1"/>
  <c r="E16" i="1"/>
  <c r="E17" i="1"/>
  <c r="B19" i="1"/>
  <c r="C17" i="1"/>
  <c r="B18" i="1"/>
</calcChain>
</file>

<file path=xl/sharedStrings.xml><?xml version="1.0" encoding="utf-8"?>
<sst xmlns="http://schemas.openxmlformats.org/spreadsheetml/2006/main" count="23" uniqueCount="23">
  <si>
    <t>3.9 Internal Factor Evaluation (IFE) Matrix · Döner Street</t>
  </si>
  <si>
    <t>Weights: 0.0 (not important) to 1.0 (all-important), must sum to 1.00. Ratings: 1 = major weakness, 2 = minor weakness, 3 = minor strength, 4 = major strength (David, Ch. 4). Blue cells are inputs.</t>
  </si>
  <si>
    <t>#</t>
  </si>
  <si>
    <t>Key Internal Factors</t>
  </si>
  <si>
    <t>Weight</t>
  </si>
  <si>
    <t>Rating</t>
  </si>
  <si>
    <t>Weighted Score</t>
  </si>
  <si>
    <t>Strengths</t>
  </si>
  <si>
    <t>Fast service with a planned ~2 min assembly per order and ~840 units/day capacity (3.4.2)</t>
  </si>
  <si>
    <t>Store on the Calle 72 corridor next to the new Metro Line 1 and TransMilenio station, a node under redevelopment (Decreto 242/2026) where none of the three rivals is located (2.2.1, 2.5)</t>
  </si>
  <si>
    <t>Healthier than conventional fast food, with fresh lettuce, tomato and onion in every döner and meat roasted on a vertical rotisserie instead of deep-fried (3.4.2)</t>
  </si>
  <si>
    <t>Lean processes around one core product allow fast onboarding, as associates need no degree and learn every station through on-the-job cross-training (3.3.2)</t>
  </si>
  <si>
    <t>Standardized product with defined portions, costs and assembly steps makes the concept easy to replicate at further locations (3.4.2)</t>
  </si>
  <si>
    <t>Weaknesses</t>
  </si>
  <si>
    <t>Unknown brand with no reviews yet vs. Filiák's 4.8 rating (2.5.3)</t>
  </si>
  <si>
    <t>No proprietary recipe, the product follows a standard döner recipe</t>
  </si>
  <si>
    <t>Inexperienced founding team of students aged 18 to 24</t>
  </si>
  <si>
    <t>No operating track record, all sales and marketing figures are forecasts (3.4.5)</t>
  </si>
  <si>
    <t>No own delivery service, so delivery orders depend on aggregator apps charging 18% to 30% commission per order (2.4.1, 3.4.4)</t>
  </si>
  <si>
    <t>Total</t>
  </si>
  <si>
    <t>Interpretation</t>
  </si>
  <si>
    <t>With a total weighted score of 2.48, Döner Street's internal position is just below the average of 2.5. Its main strengths are fast service, a location on the redeveloped Calle 72 corridor and a lean, easily replicable concept. They are offset by the typical weaknesses of a new business, above all an unknown brand, no proprietary recipe and a young founding team without operating history.</t>
  </si>
  <si>
    <t>Source: Fred R. David, Strategic Management, Ch. 4, IFE Matrix; section numbers refer to doner-house-seven.vercel.app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</si>
</sst>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8"/>
      <color rgb="FF80808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5" fillId="0" borderId="0" xfId="0" applyFont="1" applyAlignment="1">
      <alignment vertical="top" wrapText="1"/>
    </xf>
    <xf numFmtId="0" fontId="4" fillId="3" borderId="1" xfId="0" applyFont="1" applyFill="1" applyBorder="1"/>
    <xf numFmtId="0" fontId="2" fillId="0" borderId="0" xfId="0" applyFont="1" applyAlignment="1">
      <alignment wrapText="1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2" fontId="4" fillId="4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/>
    <xf numFmtId="0" fontId="7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tabSelected="1" zoomScaleNormal="100" workbookViewId="0">
      <pane ySplit="4" topLeftCell="A5" activePane="bottomLeft" state="frozen"/>
      <selection pane="bottomLeft"/>
    </sheetView>
  </sheetViews>
  <sheetFormatPr baseColWidth="10" defaultColWidth="8.6328125" defaultRowHeight="14.5" x14ac:dyDescent="0.35"/>
  <cols>
    <col min="1" max="1" width="5" customWidth="1"/>
    <col min="2" max="2" width="80" customWidth="1"/>
    <col min="3" max="5" width="14" customWidth="1"/>
  </cols>
  <sheetData>
    <row r="1" spans="1:5" ht="18" x14ac:dyDescent="0.4">
      <c r="A1" s="4" t="s">
        <v>0</v>
      </c>
    </row>
    <row r="2" spans="1:5" ht="27.75" customHeight="1" x14ac:dyDescent="0.35">
      <c r="A2" s="3" t="s">
        <v>1</v>
      </c>
      <c r="B2" s="3"/>
      <c r="C2" s="3"/>
      <c r="D2" s="3"/>
      <c r="E2" s="3"/>
    </row>
    <row r="4" spans="1:5" x14ac:dyDescent="0.35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</row>
    <row r="5" spans="1:5" x14ac:dyDescent="0.35">
      <c r="A5" s="2" t="s">
        <v>7</v>
      </c>
      <c r="B5" s="2"/>
      <c r="C5" s="2"/>
      <c r="D5" s="2"/>
      <c r="E5" s="2"/>
    </row>
    <row r="6" spans="1:5" ht="45" customHeight="1" x14ac:dyDescent="0.35">
      <c r="A6" s="6">
        <v>1</v>
      </c>
      <c r="B6" s="7" t="s">
        <v>8</v>
      </c>
      <c r="C6" s="8">
        <v>0.14000000000000001</v>
      </c>
      <c r="D6" s="9">
        <v>4</v>
      </c>
      <c r="E6" s="10">
        <f>C6*D6</f>
        <v>0.56000000000000005</v>
      </c>
    </row>
    <row r="7" spans="1:5" ht="45" customHeight="1" x14ac:dyDescent="0.35">
      <c r="A7" s="6">
        <v>2</v>
      </c>
      <c r="B7" s="7" t="s">
        <v>9</v>
      </c>
      <c r="C7" s="8">
        <v>0.11</v>
      </c>
      <c r="D7" s="9">
        <v>3</v>
      </c>
      <c r="E7" s="10">
        <f>C7*D7</f>
        <v>0.33</v>
      </c>
    </row>
    <row r="8" spans="1:5" ht="45" customHeight="1" x14ac:dyDescent="0.35">
      <c r="A8" s="6">
        <v>3</v>
      </c>
      <c r="B8" s="7" t="s">
        <v>10</v>
      </c>
      <c r="C8" s="8">
        <v>0.09</v>
      </c>
      <c r="D8" s="9">
        <v>3</v>
      </c>
      <c r="E8" s="10">
        <f>C8*D8</f>
        <v>0.27</v>
      </c>
    </row>
    <row r="9" spans="1:5" ht="45" customHeight="1" x14ac:dyDescent="0.35">
      <c r="A9" s="6">
        <v>4</v>
      </c>
      <c r="B9" s="7" t="s">
        <v>11</v>
      </c>
      <c r="C9" s="8">
        <v>7.0000000000000007E-2</v>
      </c>
      <c r="D9" s="9">
        <v>3</v>
      </c>
      <c r="E9" s="10">
        <f>C9*D9</f>
        <v>0.21000000000000002</v>
      </c>
    </row>
    <row r="10" spans="1:5" ht="45" customHeight="1" x14ac:dyDescent="0.35">
      <c r="A10" s="6">
        <v>5</v>
      </c>
      <c r="B10" s="7" t="s">
        <v>12</v>
      </c>
      <c r="C10" s="8">
        <v>7.0000000000000007E-2</v>
      </c>
      <c r="D10" s="9">
        <v>3</v>
      </c>
      <c r="E10" s="10">
        <f>C10*D10</f>
        <v>0.21000000000000002</v>
      </c>
    </row>
    <row r="11" spans="1:5" x14ac:dyDescent="0.35">
      <c r="A11" s="2" t="s">
        <v>13</v>
      </c>
      <c r="B11" s="2"/>
      <c r="C11" s="2"/>
      <c r="D11" s="2"/>
      <c r="E11" s="2"/>
    </row>
    <row r="12" spans="1:5" ht="45" customHeight="1" x14ac:dyDescent="0.35">
      <c r="A12" s="6">
        <v>1</v>
      </c>
      <c r="B12" s="7" t="s">
        <v>14</v>
      </c>
      <c r="C12" s="8">
        <v>0.14000000000000001</v>
      </c>
      <c r="D12" s="9">
        <v>1</v>
      </c>
      <c r="E12" s="10">
        <f>C12*D12</f>
        <v>0.14000000000000001</v>
      </c>
    </row>
    <row r="13" spans="1:5" ht="45" customHeight="1" x14ac:dyDescent="0.35">
      <c r="A13" s="6">
        <v>2</v>
      </c>
      <c r="B13" s="7" t="s">
        <v>15</v>
      </c>
      <c r="C13" s="8">
        <v>0.11</v>
      </c>
      <c r="D13" s="9">
        <v>2</v>
      </c>
      <c r="E13" s="10">
        <f>C13*D13</f>
        <v>0.22</v>
      </c>
    </row>
    <row r="14" spans="1:5" ht="45" customHeight="1" x14ac:dyDescent="0.35">
      <c r="A14" s="6">
        <v>3</v>
      </c>
      <c r="B14" s="7" t="s">
        <v>16</v>
      </c>
      <c r="C14" s="8">
        <v>0.1</v>
      </c>
      <c r="D14" s="9">
        <v>2</v>
      </c>
      <c r="E14" s="10">
        <f>C14*D14</f>
        <v>0.2</v>
      </c>
    </row>
    <row r="15" spans="1:5" ht="45" customHeight="1" x14ac:dyDescent="0.35">
      <c r="A15" s="6">
        <v>4</v>
      </c>
      <c r="B15" s="7" t="s">
        <v>17</v>
      </c>
      <c r="C15" s="8">
        <v>0.1</v>
      </c>
      <c r="D15" s="9">
        <v>2</v>
      </c>
      <c r="E15" s="10">
        <f>C15*D15</f>
        <v>0.2</v>
      </c>
    </row>
    <row r="16" spans="1:5" ht="45" customHeight="1" x14ac:dyDescent="0.35">
      <c r="A16" s="6">
        <v>5</v>
      </c>
      <c r="B16" s="7" t="s">
        <v>18</v>
      </c>
      <c r="C16" s="8">
        <v>7.0000000000000007E-2</v>
      </c>
      <c r="D16" s="9">
        <v>2</v>
      </c>
      <c r="E16" s="10">
        <f>C16*D16</f>
        <v>0.14000000000000001</v>
      </c>
    </row>
    <row r="17" spans="1:5" x14ac:dyDescent="0.35">
      <c r="A17" s="11"/>
      <c r="B17" s="12" t="s">
        <v>19</v>
      </c>
      <c r="C17" s="13">
        <f>SUM(C6:C16)</f>
        <v>1</v>
      </c>
      <c r="D17" s="11"/>
      <c r="E17" s="13">
        <f>SUM(E6:E16)</f>
        <v>2.4800000000000004</v>
      </c>
    </row>
    <row r="18" spans="1:5" x14ac:dyDescent="0.35">
      <c r="B18" s="14" t="str">
        <f>IF(ROUND(C17,2)=1,"Check: weights sum to 1.00","Check: weights must sum to 1.00")</f>
        <v>Check: weights sum to 1.00</v>
      </c>
    </row>
    <row r="19" spans="1:5" x14ac:dyDescent="0.35">
      <c r="B19" s="14" t="str">
        <f>IF(E17&gt;=2.5,"Score at or above the 2.5 average: internal position average to strong","Score below the 2.5 average: internal position slightly weak")</f>
        <v>Score below the 2.5 average: internal position slightly weak</v>
      </c>
    </row>
    <row r="21" spans="1:5" x14ac:dyDescent="0.35">
      <c r="A21" s="15" t="s">
        <v>20</v>
      </c>
    </row>
    <row r="22" spans="1:5" ht="60" customHeight="1" x14ac:dyDescent="0.35">
      <c r="A22" s="1" t="s">
        <v>21</v>
      </c>
      <c r="B22" s="1"/>
      <c r="C22" s="1"/>
      <c r="D22" s="1"/>
      <c r="E22" s="1"/>
    </row>
    <row r="23" spans="1:5" x14ac:dyDescent="0.35">
      <c r="A23" s="16" t="s">
        <v>22</v>
      </c>
    </row>
  </sheetData>
  <mergeCells count="4">
    <mergeCell ref="A2:E2"/>
    <mergeCell ref="A5:E5"/>
    <mergeCell ref="A11:E11"/>
    <mergeCell ref="A22:E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IFE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 Twyrdy</cp:lastModifiedBy>
  <cp:revision>0</cp:revision>
  <dcterms:created xsi:type="dcterms:W3CDTF">2026-09-28T20:03:15Z</dcterms:created>
  <dcterms:modified xsi:type="dcterms:W3CDTF">2026-09-28T20:09:04Z</dcterms:modified>
  <dc:language>en-US</dc:language>
</cp:coreProperties>
</file>