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por Producto 2026" sheetId="1" state="visible" r:id="rId3"/>
    <sheet name="Estado de Resultados 2026" sheetId="2" state="visible" r:id="rId4"/>
    <sheet name="Flujo de Efectivo 2026" sheetId="3" state="visible" r:id="rId5"/>
    <sheet name="Balance General 2026" sheetId="4" state="visible" r:id="rId6"/>
    <sheet name="Supuestos y 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<sst xmlns="http://schemas.openxmlformats.org/spreadsheetml/2006/main" count="290" uniqueCount="179">
  <si>
    <t xml:space="preserve">VENTAS POR PRODUCTO 2026 — Döner Street</t>
  </si>
  <si>
    <t xml:space="preserve">Celdas azules = datos de entrada (unidades y precio de la tabla de productos). Todo lo demás se calcula.</t>
  </si>
  <si>
    <t xml:space="preserve">Producto</t>
  </si>
  <si>
    <t xml:space="preserve">Participación (% unidades)</t>
  </si>
  <si>
    <t xml:space="preserve">Unidades vendidas (año)</t>
  </si>
  <si>
    <t xml:space="preserve">Precio de venta (COP)</t>
  </si>
  <si>
    <t xml:space="preserve">Ventas brutas (COP)</t>
  </si>
  <si>
    <t xml:space="preserve">Participación (% ventas)</t>
  </si>
  <si>
    <t xml:space="preserve">Costo materia prima unitario</t>
  </si>
  <si>
    <t xml:space="preserve">Costo materia prima total</t>
  </si>
  <si>
    <t xml:space="preserve">Margen bruto unitario</t>
  </si>
  <si>
    <t xml:space="preserve">Small Döner</t>
  </si>
  <si>
    <t xml:space="preserve">Small Döner Combo</t>
  </si>
  <si>
    <t xml:space="preserve">Medium Döner</t>
  </si>
  <si>
    <t xml:space="preserve">Medium Döner Combo</t>
  </si>
  <si>
    <t xml:space="preserve">Large Döner</t>
  </si>
  <si>
    <t xml:space="preserve">Large Döner Combo</t>
  </si>
  <si>
    <t xml:space="preserve">Total</t>
  </si>
  <si>
    <t xml:space="preserve">En la fila Total, "Precio" y "Costo unitario" son promedios ponderados.</t>
  </si>
  <si>
    <t xml:space="preserve">ESTACIONALIDAD 2026 (calendario original)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</si>
  <si>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</si>
  <si>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</si>
  <si>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</si>
  <si>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</si>
  <si>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</si>
  <si>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</si>
  <si>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</si>
  <si>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</si>
  <si>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</si>
  <si>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</si>
  <si>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</si>
  <si>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</si>
  <si>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2026</t>
  </si>
  <si>
    <t xml:space="preserve">Unidades del calendario de temporadas 2026</t>
  </si>
  <si>
    <t xml:space="preserve">% del año vendido en el mes</t>
  </si>
  <si>
    <t xml:space="preserve">UNIDADES VENDIDAS POR MES</t>
  </si>
  <si>
    <t xml:space="preserve">Total unidades</t>
  </si>
  <si>
    <t xml:space="preserve">VENTAS BRUTAS POR MES (COP)</t>
  </si>
  <si>
    <t xml:space="preserve">Total ventas brutas</t>
  </si>
  <si>
    <t xml:space="preserve">COSTO DE MATERIA PRIMA POR MES (COP)</t>
  </si>
  <si>
    <t xml:space="preserve">Total costo materia prima</t>
  </si>
  <si>
    <t xml:space="preserve">Control: ventas anuales del detalle mensual = tabla de productos</t>
  </si>
  <si>
    <t xml:space="preserve">Line</t>
  </si>
  <si>
    <t xml:space="preserve">Annual 2026</t>
  </si>
  <si>
    <t xml:space="preserve">Unidades vendidas (todos los productos)</t>
  </si>
  <si>
    <t xml:space="preserve">INGRESOS OPERACIONALES</t>
  </si>
  <si>
    <t xml:space="preserve">Ventas Small Döner</t>
  </si>
  <si>
    <t xml:space="preserve">Ventas Small Döner Combo</t>
  </si>
  <si>
    <t xml:space="preserve">Ventas Medium Döner</t>
  </si>
  <si>
    <t xml:space="preserve">Ventas Medium Döner Combo</t>
  </si>
  <si>
    <t xml:space="preserve">Ventas Large Döner</t>
  </si>
  <si>
    <t xml:space="preserve">Ventas Large Döner Combo</t>
  </si>
  <si>
    <t xml:space="preserve">Ventas brutas (total)</t>
  </si>
  <si>
    <t xml:space="preserve">(-) Devoluciones y descuentos (garantías, 3.4.3)</t>
  </si>
  <si>
    <t xml:space="preserve">Ventas netas</t>
  </si>
  <si>
    <t xml:space="preserve">COSTO DE VENTAS</t>
  </si>
  <si>
    <t xml:space="preserve">Insumos / materia prima (según mezcla de productos)</t>
  </si>
  <si>
    <t xml:space="preserve">Mano de obra directa (6 Store Associates, fija)</t>
  </si>
  <si>
    <t xml:space="preserve">Costos indirectos de producción (CIF)</t>
  </si>
  <si>
    <t xml:space="preserve">Total costo de ventas</t>
  </si>
  <si>
    <t xml:space="preserve">Utilidad bruta</t>
  </si>
  <si>
    <t xml:space="preserve">GASTOS OPERACIONALES DE ADMINISTRACIÓN</t>
  </si>
  <si>
    <t xml:space="preserve">Nómina administrativa (Store Manager)</t>
  </si>
  <si>
    <t xml:space="preserve">Servicios públicos</t>
  </si>
  <si>
    <t xml:space="preserve">Honorarios (contador externo)</t>
  </si>
  <si>
    <t xml:space="preserve">Seguros</t>
  </si>
  <si>
    <t xml:space="preserve">Software y sistemas (MIS)</t>
  </si>
  <si>
    <t xml:space="preserve">Depreciación y amortización</t>
  </si>
  <si>
    <t xml:space="preserve">Total gastos de administración</t>
  </si>
  <si>
    <t xml:space="preserve">GASTOS OPERACIONALES DE VENTAS</t>
  </si>
  <si>
    <t xml:space="preserve">Marketing y publicidad</t>
  </si>
  <si>
    <t xml:space="preserve">Comisiones plataformas de domicilios</t>
  </si>
  <si>
    <t xml:space="preserve">Empaques de venta</t>
  </si>
  <si>
    <t xml:space="preserve">Total gastos de ventas</t>
  </si>
  <si>
    <t xml:space="preserve">Utilidad operacional (EBIT)</t>
  </si>
  <si>
    <t xml:space="preserve">EBITDA</t>
  </si>
  <si>
    <t xml:space="preserve">PARTIDAS NO OPERACIONALES</t>
  </si>
  <si>
    <t xml:space="preserve">Gastos financieros (4x1000)</t>
  </si>
  <si>
    <t xml:space="preserve">Utilidad antes de impuestos</t>
  </si>
  <si>
    <t xml:space="preserve">Impuesto de renta (35% anual, provisionado)</t>
  </si>
  <si>
    <t xml:space="preserve">Utilidad neta</t>
  </si>
  <si>
    <t xml:space="preserve">Ventas y unidades vienen de la hoja "Ventas por Producto 2026" (texto verde = vínculo a otra hoja).</t>
  </si>
  <si>
    <t xml:space="preserve">ACTIVIDADES DE OPERACIÓN</t>
  </si>
  <si>
    <t xml:space="preserve">Utilidad neta / (pérdida)</t>
  </si>
  <si>
    <t xml:space="preserve">Más: Depreciación</t>
  </si>
  <si>
    <t xml:space="preserve">(+/-) Nómina por pagar</t>
  </si>
  <si>
    <t xml:space="preserve">(+/-) Seguridad social por pagar</t>
  </si>
  <si>
    <t xml:space="preserve">(+/-) Impuestos por pagar</t>
  </si>
  <si>
    <t xml:space="preserve">Efectivo neto de operación</t>
  </si>
  <si>
    <t xml:space="preserve">ACTIVIDADES DE INVERSIÓN</t>
  </si>
  <si>
    <t xml:space="preserve">Compra PP&amp;E + inventario apertura (enero)</t>
  </si>
  <si>
    <t xml:space="preserve">ACTIVIDADES DE FINANCIACIÓN</t>
  </si>
  <si>
    <t xml:space="preserve">Aporte de capital social (apertura, enero)</t>
  </si>
  <si>
    <t xml:space="preserve">Flujo neto del periodo</t>
  </si>
  <si>
    <t xml:space="preserve">Saldo final de efectivo</t>
  </si>
  <si>
    <t xml:space="preserve">Annual 2026 (Dec 31)</t>
  </si>
  <si>
    <t xml:space="preserve">ACTIVO CORRIENTE</t>
  </si>
  <si>
    <t xml:space="preserve">Efectivo y equivalentes</t>
  </si>
  <si>
    <t xml:space="preserve">Inventarios</t>
  </si>
  <si>
    <t xml:space="preserve">Total activo corriente</t>
  </si>
  <si>
    <t xml:space="preserve">ACTIVO NO CORRIENTE</t>
  </si>
  <si>
    <t xml:space="preserve">Propiedad, planta y equipo, neto</t>
  </si>
  <si>
    <t xml:space="preserve">Total activo no corriente</t>
  </si>
  <si>
    <t xml:space="preserve">TOTAL ACTIVO</t>
  </si>
  <si>
    <t xml:space="preserve">PASIVO CORRIENTE</t>
  </si>
  <si>
    <t xml:space="preserve">Nómina por pagar y prestaciones sociales</t>
  </si>
  <si>
    <t xml:space="preserve">Seguridad social y parafiscales por pagar</t>
  </si>
  <si>
    <t xml:space="preserve">Impuestos por pagar (incl. renta 100% a dic 31)</t>
  </si>
  <si>
    <t xml:space="preserve">TOTAL PASIVO</t>
  </si>
  <si>
    <t xml:space="preserve">PATRIMONIO</t>
  </si>
  <si>
    <t xml:space="preserve">Capital social (100% equity, apertura)</t>
  </si>
  <si>
    <t xml:space="preserve">Utilidades retenidas (acumuladas del año)</t>
  </si>
  <si>
    <t xml:space="preserve">TOTAL PATRIMONIO</t>
  </si>
  <si>
    <t xml:space="preserve">TOTAL PASIVO + PATRIMONIO</t>
  </si>
  <si>
    <t xml:space="preserve">Control: Activo − (Pasivo + Patrimonio)</t>
  </si>
  <si>
    <t xml:space="preserve">2026 -- Year 1 Monthly Financial Model -- Döner Street</t>
  </si>
  <si>
    <t xml:space="preserve">PARÁMETROS DEL MODELO (celdas azules = datos de entrada editables)</t>
  </si>
  <si>
    <t xml:space="preserve">Devoluciones y descuentos (% de ventas brutas)</t>
  </si>
  <si>
    <t xml:space="preserve">Garantías, 3.4.3 — tasa implícita del modelo original</t>
  </si>
  <si>
    <t xml:space="preserve">Participación de ventas por apps de domicilio</t>
  </si>
  <si>
    <t xml:space="preserve">Supuesto original (nota 8)</t>
  </si>
  <si>
    <t xml:space="preserve">Comisión plataformas de domicilio</t>
  </si>
  <si>
    <t xml:space="preserve">Participación domicilio + para llevar (usa empaque)</t>
  </si>
  <si>
    <t xml:space="preserve">Costo de empaque por unidad (COP)</t>
  </si>
  <si>
    <t xml:space="preserve">CIF por unidad (COP)</t>
  </si>
  <si>
    <t xml:space="preserve">Supuesto original, 3.4.2</t>
  </si>
  <si>
    <t xml:space="preserve">Costo materia prima Medium Döner Combo (COP)</t>
  </si>
  <si>
    <t xml:space="preserve">Mano de obra directa anual (6 Store Associates)</t>
  </si>
  <si>
    <t xml:space="preserve">Fija, supuesto original</t>
  </si>
  <si>
    <t xml:space="preserve">Nómina administrativa anual (Store Manager)</t>
  </si>
  <si>
    <t xml:space="preserve">Supuesto original</t>
  </si>
  <si>
    <t xml:space="preserve">Servicios públicos anual</t>
  </si>
  <si>
    <t xml:space="preserve">Honorarios contador anual</t>
  </si>
  <si>
    <t xml:space="preserve">Seguros anual</t>
  </si>
  <si>
    <t xml:space="preserve">Software y sistemas (MIS) anual</t>
  </si>
  <si>
    <t xml:space="preserve">Depreciación y amortización anual</t>
  </si>
  <si>
    <t xml:space="preserve">Marketing y publicidad anual</t>
  </si>
  <si>
    <t xml:space="preserve">Gravamen 4x1000 (sobre egresos operativos en efectivo)</t>
  </si>
  <si>
    <t xml:space="preserve">Base: costo de ventas + gastos admin (sin depreciación) + gastos de ventas</t>
  </si>
  <si>
    <t xml:space="preserve">Impuesto de renta (tasa anual)</t>
  </si>
  <si>
    <t xml:space="preserve">Supuesto original (nota 9)</t>
  </si>
  <si>
    <t xml:space="preserve">Aporte de capital social (enero)</t>
  </si>
  <si>
    <t xml:space="preserve">Compra PP&amp;E + inventario de apertura (enero)</t>
  </si>
  <si>
    <t xml:space="preserve">Inventario (saldo constante)</t>
  </si>
  <si>
    <t xml:space="preserve">Nómina por pagar y prestaciones (saldo permanente)</t>
  </si>
  <si>
    <t xml:space="preserve">Seguridad social y parafiscales por pagar (saldo permanente)</t>
  </si>
  <si>
    <t xml:space="preserve">PP&amp;E bruto (compra − inventario)</t>
  </si>
  <si>
    <t xml:space="preserve">Calculado</t>
  </si>
  <si>
    <t xml:space="preserve">Food cost % (materia prima ÷ precio Medium Combo)</t>
  </si>
  <si>
    <t xml:space="preserve">Calculado — se aplica al precio de cada producto</t>
  </si>
  <si>
    <t xml:space="preserve">FACTOR DE IMPUESTOS INDIRECTOS POR PAGAR (% de ventas brutas del mes)</t>
  </si>
  <si>
    <t xml:space="preserve">Derivado del modelo original: saldo de impuestos por pagar ÷ ventas brutas de cada mes (en diciembre, sin la renta anual). Así el saldo se mueve con las ventas reales.</t>
  </si>
  <si>
    <t xml:space="preserve">Factor Jan</t>
  </si>
  <si>
    <t xml:space="preserve">Factor Feb</t>
  </si>
  <si>
    <t xml:space="preserve">Factor Mar</t>
  </si>
  <si>
    <t xml:space="preserve">Factor Apr</t>
  </si>
  <si>
    <t xml:space="preserve">Factor May</t>
  </si>
  <si>
    <t xml:space="preserve">Factor Jun</t>
  </si>
  <si>
    <t xml:space="preserve">Factor Jul</t>
  </si>
  <si>
    <t xml:space="preserve">Factor Aug</t>
  </si>
  <si>
    <t xml:space="preserve">Factor Sep</t>
  </si>
  <si>
    <t xml:space="preserve">Factor Oct</t>
  </si>
  <si>
    <t xml:space="preserve">Factor Nov</t>
  </si>
  <si>
    <t xml:space="preserve">Factor Dec</t>
  </si>
  <si>
    <t xml:space="preserve">NOTAS</t>
  </si>
  <si>
    <t xml:space="preserve">CORRECCIÓN (oct 2026): las ventas ya no se calculan como si todo fuera Medium Döner Combo a $28.400. Ahora se detallan los 6 productos (Small/Medium/Large Döner y sus combos) con su mezcla, unidades, precio y ventas — ver hoja "Ventas por Producto 2026".</t>
  </si>
  <si>
    <t xml:space="preserve">Unidades y precios por producto tomados de la tabla de ventas por producto del equipo (total 45.170 unidades, ventas brutas $1.212.634.600). Las unidades de cada producto se reparten mes a mes con la estacionalidad del calendario 2026 (150/90/40 combos/día en temporada alta/baja/muerta).</t>
  </si>
  <si>
    <t xml:space="preserve">Costo de materia prima por producto: el modelo solo tenía el costo del Medium Combo ($15.725). Para los demás se aplica el mismo food cost % (15.725 ÷ 28.400 = 55,4%) a su precio. Si tienen el costeo real de cada receta, reemplacen la columna "Costo materia prima unitario".</t>
  </si>
  <si>
    <t xml:space="preserve">CORRECCIÓN 2: en el flujo de febrero se restaban $6.494.000 de nómina y seguridad social por pagar, pero el balance los seguía mostrando sin sumarlos en el Total Pasivo. Ahora esos saldos se mantienen permanentes (se causan y se pagan cada mes), el Total Pasivo los incluye y el balance cuadra todos los meses.</t>
  </si>
  <si>
    <t xml:space="preserve">2026 is Döner Street's Grand Opening and first full year of operation; the 2027 three-scenario model (Estados_Financieros_Doner_Street_2027.xlsx) is the second-year outlook and was left as originally built.</t>
  </si>
  <si>
    <t xml:space="preserve">This model is independent of 2027 -- it is not the 2027 annual total prorated to months. It reapplies the same first-principles assumptions (daily volume by season, per-unit costs, fixed payroll/overhead, the 35% Medium Combo price-plus methodology) to the actual 2026 calendar.</t>
  </si>
  <si>
    <t xml:space="preserve">Daily volumes: 150 combos/day high season, 90 low season, 40 dead season (Realistic case, 3.5.1), mapped day-by-day onto 2026's specific season dates (3.4.4 Seasons, DD/MM windows applied to the 2026 calendar).</t>
  </si>
  <si>
    <t xml:space="preserve">Price $28,400, materials $15,725/unit, CIF $1,000/unit (3.4.2). Direct labor fixed $187,200,000/yr (6 Store Associates). Admin payroll, honorarios, seguros, software, utilities, depreciation, and marketing are annual totals spread evenly across the 12 months.</t>
  </si>
  <si>
    <t xml:space="preserve">Marketing is spread evenly at $3,966,667/mo -- the detailed campaign-by-campaign calendar lives in 3.4.4/3.4.5 for 2027 and was not rebuilt for 2026.</t>
  </si>
  <si>
    <t xml:space="preserve">Delivery commission: 20% on the 24% of net sales that go through aggregator apps. Packaging: $300/unit on the 37% delivery+takeaway share.</t>
  </si>
  <si>
    <t xml:space="preserve">Income tax is provisioned evenly across the year at the 35% annual rate (computed on ANNUAL pretax income, not month by month, since Colombian corporate tax is an annual filing); the full year's liability then sits as 100% outstanding at Dec 31 in Impuestos por Pagar -- same treatment as the annual 2027 model.</t>
  </si>
  <si>
    <t xml:space="preserve">Cuentas por Cobrar and Gastos Pagados por Anticipado are intentionally not modeled, same simplification applied to the 2027 scenarios after the September 2026 balance-sheet cleanup.</t>
  </si>
  <si>
    <t xml:space="preserve">Every month's balance sheet balances exactly (TOTAL ACTIVO = TOTAL PASIVO + PATRIMONIO), verified programmatically. The Annual 2026 column on the Balance Sheet tab is the December 31 year-end snapshot, since a balance sheet is a point-in-time statement, not a sum of months.</t>
  </si>
  <si>
    <t xml:space="preserve">All figures are Realistic-case COP, computed programmatically from the assumptions above.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</si>
</sst>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0.0%"/>
    <numFmt numFmtId="169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4592B"/>
        <bgColor rgb="FF666666"/>
      </patternFill>
    </fill>
    <fill>
      <patternFill patternType="solid">
        <fgColor rgb="FFFFF7E6"/>
        <bgColor rgb="FFFFFFFF"/>
      </patternFill>
    </fill>
    <fill>
      <patternFill patternType="solid">
        <fgColor rgb="FFE8D1A7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84592B"/>
      </top>
      <bottom/>
      <diagonal/>
    </border>
    <border diagonalUp="false" diagonalDown="false">
      <left/>
      <right/>
      <top style="thin">
        <color rgb="FF84592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4592B"/>
      <rgbColor rgb="FF800080"/>
      <rgbColor rgb="FF008080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1A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0" t="s">
        <v>11</v>
      </c>
      <c r="B5" s="5" t="n">
        <f aca="false">C5/$C$11</f>
        <v>0.0800088554350232</v>
      </c>
      <c r="C5" s="6" t="n">
        <v>3614</v>
      </c>
      <c r="D5" s="7" t="n">
        <v>17100</v>
      </c>
      <c r="E5" s="8" t="n">
        <f aca="false">C5*D5</f>
        <v>61799400</v>
      </c>
      <c r="F5" s="5" t="n">
        <f aca="false">E5/$E$11</f>
        <v>0.0509629199100867</v>
      </c>
      <c r="G5" s="8" t="n">
        <f aca="false">ROUND(D5*'Supuestos y Notas'!$B$27,0)</f>
        <v>9468</v>
      </c>
      <c r="H5" s="8" t="n">
        <f aca="false">C5*G5</f>
        <v>34217352</v>
      </c>
      <c r="I5" s="8" t="n">
        <f aca="false">D5-G5</f>
        <v>7632</v>
      </c>
    </row>
    <row r="6" customFormat="false" ht="15" hidden="false" customHeight="false" outlineLevel="0" collapsed="false">
      <c r="A6" s="9" t="s">
        <v>12</v>
      </c>
      <c r="B6" s="10" t="n">
        <f aca="false">C6/$C$11</f>
        <v>0.1</v>
      </c>
      <c r="C6" s="11" t="n">
        <v>4517</v>
      </c>
      <c r="D6" s="12" t="n">
        <v>23200</v>
      </c>
      <c r="E6" s="13" t="n">
        <f aca="false">C6*D6</f>
        <v>104794400</v>
      </c>
      <c r="F6" s="10" t="n">
        <f aca="false">E6/$E$11</f>
        <v>0.0864187777587742</v>
      </c>
      <c r="G6" s="13" t="n">
        <f aca="false">ROUND(D6*'Supuestos y Notas'!$B$27,0)</f>
        <v>12846</v>
      </c>
      <c r="H6" s="13" t="n">
        <f aca="false">C6*G6</f>
        <v>58025382</v>
      </c>
      <c r="I6" s="13" t="n">
        <f aca="false">D6-G6</f>
        <v>10354</v>
      </c>
    </row>
    <row r="7" customFormat="false" ht="15" hidden="false" customHeight="false" outlineLevel="0" collapsed="false">
      <c r="A7" s="0" t="s">
        <v>13</v>
      </c>
      <c r="B7" s="5" t="n">
        <f aca="false">C7/$C$11</f>
        <v>0.119991144564977</v>
      </c>
      <c r="C7" s="6" t="n">
        <v>5420</v>
      </c>
      <c r="D7" s="7" t="n">
        <v>21900</v>
      </c>
      <c r="E7" s="8" t="n">
        <f aca="false">C7*D7</f>
        <v>118698000</v>
      </c>
      <c r="F7" s="5" t="n">
        <f aca="false">E7/$E$11</f>
        <v>0.0978843915553787</v>
      </c>
      <c r="G7" s="8" t="n">
        <f aca="false">ROUND(D7*'Supuestos y Notas'!$B$27,0)</f>
        <v>12126</v>
      </c>
      <c r="H7" s="8" t="n">
        <f aca="false">C7*G7</f>
        <v>65722920</v>
      </c>
      <c r="I7" s="8" t="n">
        <f aca="false">D7-G7</f>
        <v>9774</v>
      </c>
    </row>
    <row r="8" customFormat="false" ht="15" hidden="false" customHeight="false" outlineLevel="0" collapsed="false">
      <c r="A8" s="9" t="s">
        <v>14</v>
      </c>
      <c r="B8" s="10" t="n">
        <f aca="false">C8/$C$11</f>
        <v>0.449988930706221</v>
      </c>
      <c r="C8" s="11" t="n">
        <v>20326</v>
      </c>
      <c r="D8" s="12" t="n">
        <v>28400</v>
      </c>
      <c r="E8" s="13" t="n">
        <f aca="false">C8*D8</f>
        <v>577258400</v>
      </c>
      <c r="F8" s="10" t="n">
        <f aca="false">E8/$E$11</f>
        <v>0.476036557096425</v>
      </c>
      <c r="G8" s="13" t="n">
        <f aca="false">ROUND(D8*'Supuestos y Notas'!$B$27,0)</f>
        <v>15725</v>
      </c>
      <c r="H8" s="13" t="n">
        <f aca="false">C8*G8</f>
        <v>319626350</v>
      </c>
      <c r="I8" s="13" t="n">
        <f aca="false">D8-G8</f>
        <v>12675</v>
      </c>
    </row>
    <row r="9" customFormat="false" ht="15" hidden="false" customHeight="false" outlineLevel="0" collapsed="false">
      <c r="A9" s="0" t="s">
        <v>15</v>
      </c>
      <c r="B9" s="5" t="n">
        <f aca="false">C9/$C$11</f>
        <v>0.1</v>
      </c>
      <c r="C9" s="6" t="n">
        <v>4517</v>
      </c>
      <c r="D9" s="7" t="n">
        <v>26800</v>
      </c>
      <c r="E9" s="8" t="n">
        <f aca="false">C9*D9</f>
        <v>121055600</v>
      </c>
      <c r="F9" s="5" t="n">
        <f aca="false">E9/$E$11</f>
        <v>0.0998285881006529</v>
      </c>
      <c r="G9" s="8" t="n">
        <f aca="false">ROUND(D9*'Supuestos y Notas'!$B$27,0)</f>
        <v>14839</v>
      </c>
      <c r="H9" s="8" t="n">
        <f aca="false">C9*G9</f>
        <v>67027763</v>
      </c>
      <c r="I9" s="8" t="n">
        <f aca="false">D9-G9</f>
        <v>11961</v>
      </c>
    </row>
    <row r="10" customFormat="false" ht="15" hidden="false" customHeight="false" outlineLevel="0" collapsed="false">
      <c r="A10" s="9" t="s">
        <v>16</v>
      </c>
      <c r="B10" s="10" t="n">
        <f aca="false">C10/$C$11</f>
        <v>0.150011069293779</v>
      </c>
      <c r="C10" s="11" t="n">
        <v>6776</v>
      </c>
      <c r="D10" s="12" t="n">
        <v>33800</v>
      </c>
      <c r="E10" s="13" t="n">
        <f aca="false">C10*D10</f>
        <v>229028800</v>
      </c>
      <c r="F10" s="10" t="n">
        <f aca="false">E10/$E$11</f>
        <v>0.188868765578683</v>
      </c>
      <c r="G10" s="13" t="n">
        <f aca="false">ROUND(D10*'Supuestos y Notas'!$B$27,0)</f>
        <v>18715</v>
      </c>
      <c r="H10" s="13" t="n">
        <f aca="false">C10*G10</f>
        <v>126812840</v>
      </c>
      <c r="I10" s="13" t="n">
        <f aca="false">D10-G10</f>
        <v>15085</v>
      </c>
    </row>
    <row r="11" customFormat="false" ht="15" hidden="false" customHeight="false" outlineLevel="0" collapsed="false">
      <c r="A11" s="14" t="s">
        <v>17</v>
      </c>
      <c r="B11" s="15" t="n">
        <f aca="false">SUM(B5:B10)</f>
        <v>1</v>
      </c>
      <c r="C11" s="16" t="n">
        <f aca="false">SUM(C5:C10)</f>
        <v>45170</v>
      </c>
      <c r="D11" s="17" t="n">
        <f aca="false">E11/C11</f>
        <v>26846.0172680983</v>
      </c>
      <c r="E11" s="17" t="n">
        <f aca="false">SUM(E5:E10)</f>
        <v>1212634600</v>
      </c>
      <c r="F11" s="15" t="n">
        <f aca="false">SUM(F5:F10)</f>
        <v>1</v>
      </c>
      <c r="G11" s="17" t="n">
        <f aca="false">H11/C11</f>
        <v>14864.5695594421</v>
      </c>
      <c r="H11" s="17" t="n">
        <f aca="false">SUM(H5:H10)</f>
        <v>671432607</v>
      </c>
      <c r="I11" s="17" t="n">
        <f aca="false">D11-G11</f>
        <v>11981.4477086562</v>
      </c>
    </row>
    <row r="12" customFormat="false" ht="15" hidden="false" customHeight="false" outlineLevel="0" collapsed="false">
      <c r="A12" s="2" t="s">
        <v>18</v>
      </c>
    </row>
    <row r="14" customFormat="false" ht="15" hidden="false" customHeight="false" outlineLevel="0" collapsed="false">
      <c r="A14" s="18" t="s">
        <v>19</v>
      </c>
      <c r="B14" s="19" t="s">
        <v>20</v>
      </c>
      <c r="C14" s="19" t="s">
        <v>21</v>
      </c>
      <c r="D14" s="19" t="s">
        <v>22</v>
      </c>
      <c r="E14" s="19" t="s">
        <v>23</v>
      </c>
      <c r="F14" s="19" t="s">
        <v>24</v>
      </c>
      <c r="G14" s="19" t="s">
        <v>25</v>
      </c>
      <c r="H14" s="19" t="s">
        <v>26</v>
      </c>
      <c r="I14" s="19" t="s">
        <v>27</v>
      </c>
      <c r="J14" s="19" t="s">
        <v>28</v>
      </c>
      <c r="K14" s="19" t="s">
        <v>29</v>
      </c>
      <c r="L14" s="19" t="s">
        <v>30</v>
      </c>
      <c r="M14" s="19" t="s">
        <v>31</v>
      </c>
      <c r="N14" s="19" t="s">
        <v>32</v>
      </c>
    </row>
    <row r="15" customFormat="false" ht="15" hidden="false" customHeight="false" outlineLevel="0" collapsed="false">
      <c r="A15" s="0" t="s">
        <v>33</v>
      </c>
      <c r="B15" s="6" t="n">
        <v>2640</v>
      </c>
      <c r="C15" s="6" t="n">
        <v>4200</v>
      </c>
      <c r="D15" s="6" t="n">
        <v>3770</v>
      </c>
      <c r="E15" s="6" t="n">
        <v>4500</v>
      </c>
      <c r="F15" s="6" t="n">
        <v>4650</v>
      </c>
      <c r="G15" s="6" t="n">
        <v>2970</v>
      </c>
      <c r="H15" s="6" t="n">
        <v>2190</v>
      </c>
      <c r="I15" s="6" t="n">
        <v>4590</v>
      </c>
      <c r="J15" s="6" t="n">
        <v>4500</v>
      </c>
      <c r="K15" s="6" t="n">
        <v>4650</v>
      </c>
      <c r="L15" s="6" t="n">
        <v>4440</v>
      </c>
      <c r="M15" s="6" t="n">
        <v>2190</v>
      </c>
      <c r="N15" s="20" t="n">
        <f aca="false">SUM(B15:M15)</f>
        <v>45290</v>
      </c>
    </row>
    <row r="16" customFormat="false" ht="15" hidden="false" customHeight="false" outlineLevel="0" collapsed="false">
      <c r="A16" s="0" t="s">
        <v>34</v>
      </c>
      <c r="B16" s="5" t="n">
        <f aca="false">B15/$N$15</f>
        <v>0.0582910134687569</v>
      </c>
      <c r="C16" s="5" t="n">
        <f aca="false">C15/$N$15</f>
        <v>0.0927357032457496</v>
      </c>
      <c r="D16" s="5" t="n">
        <f aca="false">D15/$N$15</f>
        <v>0.0832413336277324</v>
      </c>
      <c r="E16" s="5" t="n">
        <f aca="false">E15/$N$15</f>
        <v>0.0993596820490175</v>
      </c>
      <c r="F16" s="5" t="n">
        <f aca="false">F15/$N$15</f>
        <v>0.102671671450651</v>
      </c>
      <c r="G16" s="5" t="n">
        <f aca="false">G15/$N$15</f>
        <v>0.0655773901523515</v>
      </c>
      <c r="H16" s="5" t="n">
        <f aca="false">H15/$N$15</f>
        <v>0.0483550452638552</v>
      </c>
      <c r="I16" s="5" t="n">
        <f aca="false">I15/$N$15</f>
        <v>0.101346875689998</v>
      </c>
      <c r="J16" s="5" t="n">
        <f aca="false">J15/$N$15</f>
        <v>0.0993596820490175</v>
      </c>
      <c r="K16" s="5" t="n">
        <f aca="false">K15/$N$15</f>
        <v>0.102671671450651</v>
      </c>
      <c r="L16" s="5" t="n">
        <f aca="false">L15/$N$15</f>
        <v>0.0980348862883639</v>
      </c>
      <c r="M16" s="5" t="n">
        <f aca="false">M15/$N$15</f>
        <v>0.0483550452638552</v>
      </c>
      <c r="N16" s="5" t="n">
        <f aca="false">N15/$N$15</f>
        <v>1</v>
      </c>
    </row>
    <row r="18" customFormat="false" ht="15" hidden="false" customHeight="false" outlineLevel="0" collapsed="false">
      <c r="A18" s="18" t="s">
        <v>35</v>
      </c>
      <c r="B18" s="19" t="s">
        <v>20</v>
      </c>
      <c r="C18" s="19" t="s">
        <v>21</v>
      </c>
      <c r="D18" s="19" t="s">
        <v>22</v>
      </c>
      <c r="E18" s="19" t="s">
        <v>23</v>
      </c>
      <c r="F18" s="19" t="s">
        <v>24</v>
      </c>
      <c r="G18" s="19" t="s">
        <v>25</v>
      </c>
      <c r="H18" s="19" t="s">
        <v>26</v>
      </c>
      <c r="I18" s="19" t="s">
        <v>27</v>
      </c>
      <c r="J18" s="19" t="s">
        <v>28</v>
      </c>
      <c r="K18" s="19" t="s">
        <v>29</v>
      </c>
      <c r="L18" s="19" t="s">
        <v>30</v>
      </c>
      <c r="M18" s="19" t="s">
        <v>31</v>
      </c>
      <c r="N18" s="19" t="s">
        <v>32</v>
      </c>
    </row>
    <row r="19" customFormat="false" ht="15" hidden="false" customHeight="false" outlineLevel="0" collapsed="false">
      <c r="A19" s="0" t="s">
        <v>11</v>
      </c>
      <c r="B19" s="21" t="n">
        <f aca="false">ROUND($C$5*B$16,0)</f>
        <v>211</v>
      </c>
      <c r="C19" s="21" t="n">
        <f aca="false">ROUND($C$5*C$16,0)</f>
        <v>335</v>
      </c>
      <c r="D19" s="21" t="n">
        <f aca="false">ROUND($C$5*D$16,0)</f>
        <v>301</v>
      </c>
      <c r="E19" s="21" t="n">
        <f aca="false">ROUND($C$5*E$16,0)</f>
        <v>359</v>
      </c>
      <c r="F19" s="21" t="n">
        <f aca="false">ROUND($C$5*F$16,0)</f>
        <v>371</v>
      </c>
      <c r="G19" s="21" t="n">
        <f aca="false">ROUND($C$5*G$16,0)</f>
        <v>237</v>
      </c>
      <c r="H19" s="21" t="n">
        <f aca="false">ROUND($C$5*H$16,0)</f>
        <v>175</v>
      </c>
      <c r="I19" s="21" t="n">
        <f aca="false">ROUND($C$5*I$16,0)</f>
        <v>366</v>
      </c>
      <c r="J19" s="21" t="n">
        <f aca="false">ROUND($C$5*J$16,0)</f>
        <v>359</v>
      </c>
      <c r="K19" s="21" t="n">
        <f aca="false">ROUND($C$5*K$16,0)</f>
        <v>371</v>
      </c>
      <c r="L19" s="21" t="n">
        <f aca="false">ROUND($C$5*L$16,0)</f>
        <v>354</v>
      </c>
      <c r="M19" s="21" t="n">
        <f aca="false">$C$5-SUM(B19:L19)</f>
        <v>175</v>
      </c>
      <c r="N19" s="20" t="n">
        <f aca="false">SUM(B19:M19)</f>
        <v>3614</v>
      </c>
    </row>
    <row r="20" customFormat="false" ht="15" hidden="false" customHeight="false" outlineLevel="0" collapsed="false">
      <c r="A20" s="0" t="s">
        <v>12</v>
      </c>
      <c r="B20" s="21" t="n">
        <f aca="false">ROUND($C$6*B$16,0)</f>
        <v>263</v>
      </c>
      <c r="C20" s="21" t="n">
        <f aca="false">ROUND($C$6*C$16,0)</f>
        <v>419</v>
      </c>
      <c r="D20" s="21" t="n">
        <f aca="false">ROUND($C$6*D$16,0)</f>
        <v>376</v>
      </c>
      <c r="E20" s="21" t="n">
        <f aca="false">ROUND($C$6*E$16,0)</f>
        <v>449</v>
      </c>
      <c r="F20" s="21" t="n">
        <f aca="false">ROUND($C$6*F$16,0)</f>
        <v>464</v>
      </c>
      <c r="G20" s="21" t="n">
        <f aca="false">ROUND($C$6*G$16,0)</f>
        <v>296</v>
      </c>
      <c r="H20" s="21" t="n">
        <f aca="false">ROUND($C$6*H$16,0)</f>
        <v>218</v>
      </c>
      <c r="I20" s="21" t="n">
        <f aca="false">ROUND($C$6*I$16,0)</f>
        <v>458</v>
      </c>
      <c r="J20" s="21" t="n">
        <f aca="false">ROUND($C$6*J$16,0)</f>
        <v>449</v>
      </c>
      <c r="K20" s="21" t="n">
        <f aca="false">ROUND($C$6*K$16,0)</f>
        <v>464</v>
      </c>
      <c r="L20" s="21" t="n">
        <f aca="false">ROUND($C$6*L$16,0)</f>
        <v>443</v>
      </c>
      <c r="M20" s="21" t="n">
        <f aca="false">$C$6-SUM(B20:L20)</f>
        <v>218</v>
      </c>
      <c r="N20" s="20" t="n">
        <f aca="false">SUM(B20:M20)</f>
        <v>4517</v>
      </c>
    </row>
    <row r="21" customFormat="false" ht="15" hidden="false" customHeight="false" outlineLevel="0" collapsed="false">
      <c r="A21" s="0" t="s">
        <v>13</v>
      </c>
      <c r="B21" s="21" t="n">
        <f aca="false">ROUND($C$7*B$16,0)</f>
        <v>316</v>
      </c>
      <c r="C21" s="21" t="n">
        <f aca="false">ROUND($C$7*C$16,0)</f>
        <v>503</v>
      </c>
      <c r="D21" s="21" t="n">
        <f aca="false">ROUND($C$7*D$16,0)</f>
        <v>451</v>
      </c>
      <c r="E21" s="21" t="n">
        <f aca="false">ROUND($C$7*E$16,0)</f>
        <v>539</v>
      </c>
      <c r="F21" s="21" t="n">
        <f aca="false">ROUND($C$7*F$16,0)</f>
        <v>556</v>
      </c>
      <c r="G21" s="21" t="n">
        <f aca="false">ROUND($C$7*G$16,0)</f>
        <v>355</v>
      </c>
      <c r="H21" s="21" t="n">
        <f aca="false">ROUND($C$7*H$16,0)</f>
        <v>262</v>
      </c>
      <c r="I21" s="21" t="n">
        <f aca="false">ROUND($C$7*I$16,0)</f>
        <v>549</v>
      </c>
      <c r="J21" s="21" t="n">
        <f aca="false">ROUND($C$7*J$16,0)</f>
        <v>539</v>
      </c>
      <c r="K21" s="21" t="n">
        <f aca="false">ROUND($C$7*K$16,0)</f>
        <v>556</v>
      </c>
      <c r="L21" s="21" t="n">
        <f aca="false">ROUND($C$7*L$16,0)</f>
        <v>531</v>
      </c>
      <c r="M21" s="21" t="n">
        <f aca="false">$C$7-SUM(B21:L21)</f>
        <v>263</v>
      </c>
      <c r="N21" s="20" t="n">
        <f aca="false">SUM(B21:M21)</f>
        <v>5420</v>
      </c>
    </row>
    <row r="22" customFormat="false" ht="15" hidden="false" customHeight="false" outlineLevel="0" collapsed="false">
      <c r="A22" s="0" t="s">
        <v>14</v>
      </c>
      <c r="B22" s="21" t="n">
        <f aca="false">ROUND($C$8*B$16,0)</f>
        <v>1185</v>
      </c>
      <c r="C22" s="21" t="n">
        <f aca="false">ROUND($C$8*C$16,0)</f>
        <v>1885</v>
      </c>
      <c r="D22" s="21" t="n">
        <f aca="false">ROUND($C$8*D$16,0)</f>
        <v>1692</v>
      </c>
      <c r="E22" s="21" t="n">
        <f aca="false">ROUND($C$8*E$16,0)</f>
        <v>2020</v>
      </c>
      <c r="F22" s="21" t="n">
        <f aca="false">ROUND($C$8*F$16,0)</f>
        <v>2087</v>
      </c>
      <c r="G22" s="21" t="n">
        <f aca="false">ROUND($C$8*G$16,0)</f>
        <v>1333</v>
      </c>
      <c r="H22" s="21" t="n">
        <f aca="false">ROUND($C$8*H$16,0)</f>
        <v>983</v>
      </c>
      <c r="I22" s="21" t="n">
        <f aca="false">ROUND($C$8*I$16,0)</f>
        <v>2060</v>
      </c>
      <c r="J22" s="21" t="n">
        <f aca="false">ROUND($C$8*J$16,0)</f>
        <v>2020</v>
      </c>
      <c r="K22" s="21" t="n">
        <f aca="false">ROUND($C$8*K$16,0)</f>
        <v>2087</v>
      </c>
      <c r="L22" s="21" t="n">
        <f aca="false">ROUND($C$8*L$16,0)</f>
        <v>1993</v>
      </c>
      <c r="M22" s="21" t="n">
        <f aca="false">$C$8-SUM(B22:L22)</f>
        <v>981</v>
      </c>
      <c r="N22" s="20" t="n">
        <f aca="false">SUM(B22:M22)</f>
        <v>20326</v>
      </c>
    </row>
    <row r="23" customFormat="false" ht="15" hidden="false" customHeight="false" outlineLevel="0" collapsed="false">
      <c r="A23" s="0" t="s">
        <v>15</v>
      </c>
      <c r="B23" s="21" t="n">
        <f aca="false">ROUND($C$9*B$16,0)</f>
        <v>263</v>
      </c>
      <c r="C23" s="21" t="n">
        <f aca="false">ROUND($C$9*C$16,0)</f>
        <v>419</v>
      </c>
      <c r="D23" s="21" t="n">
        <f aca="false">ROUND($C$9*D$16,0)</f>
        <v>376</v>
      </c>
      <c r="E23" s="21" t="n">
        <f aca="false">ROUND($C$9*E$16,0)</f>
        <v>449</v>
      </c>
      <c r="F23" s="21" t="n">
        <f aca="false">ROUND($C$9*F$16,0)</f>
        <v>464</v>
      </c>
      <c r="G23" s="21" t="n">
        <f aca="false">ROUND($C$9*G$16,0)</f>
        <v>296</v>
      </c>
      <c r="H23" s="21" t="n">
        <f aca="false">ROUND($C$9*H$16,0)</f>
        <v>218</v>
      </c>
      <c r="I23" s="21" t="n">
        <f aca="false">ROUND($C$9*I$16,0)</f>
        <v>458</v>
      </c>
      <c r="J23" s="21" t="n">
        <f aca="false">ROUND($C$9*J$16,0)</f>
        <v>449</v>
      </c>
      <c r="K23" s="21" t="n">
        <f aca="false">ROUND($C$9*K$16,0)</f>
        <v>464</v>
      </c>
      <c r="L23" s="21" t="n">
        <f aca="false">ROUND($C$9*L$16,0)</f>
        <v>443</v>
      </c>
      <c r="M23" s="21" t="n">
        <f aca="false">$C$9-SUM(B23:L23)</f>
        <v>218</v>
      </c>
      <c r="N23" s="20" t="n">
        <f aca="false">SUM(B23:M23)</f>
        <v>4517</v>
      </c>
    </row>
    <row r="24" customFormat="false" ht="15" hidden="false" customHeight="false" outlineLevel="0" collapsed="false">
      <c r="A24" s="0" t="s">
        <v>16</v>
      </c>
      <c r="B24" s="21" t="n">
        <f aca="false">ROUND($C$10*B$16,0)</f>
        <v>395</v>
      </c>
      <c r="C24" s="21" t="n">
        <f aca="false">ROUND($C$10*C$16,0)</f>
        <v>628</v>
      </c>
      <c r="D24" s="21" t="n">
        <f aca="false">ROUND($C$10*D$16,0)</f>
        <v>564</v>
      </c>
      <c r="E24" s="21" t="n">
        <f aca="false">ROUND($C$10*E$16,0)</f>
        <v>673</v>
      </c>
      <c r="F24" s="21" t="n">
        <f aca="false">ROUND($C$10*F$16,0)</f>
        <v>696</v>
      </c>
      <c r="G24" s="21" t="n">
        <f aca="false">ROUND($C$10*G$16,0)</f>
        <v>444</v>
      </c>
      <c r="H24" s="21" t="n">
        <f aca="false">ROUND($C$10*H$16,0)</f>
        <v>328</v>
      </c>
      <c r="I24" s="21" t="n">
        <f aca="false">ROUND($C$10*I$16,0)</f>
        <v>687</v>
      </c>
      <c r="J24" s="21" t="n">
        <f aca="false">ROUND($C$10*J$16,0)</f>
        <v>673</v>
      </c>
      <c r="K24" s="21" t="n">
        <f aca="false">ROUND($C$10*K$16,0)</f>
        <v>696</v>
      </c>
      <c r="L24" s="21" t="n">
        <f aca="false">ROUND($C$10*L$16,0)</f>
        <v>664</v>
      </c>
      <c r="M24" s="21" t="n">
        <f aca="false">$C$10-SUM(B24:L24)</f>
        <v>328</v>
      </c>
      <c r="N24" s="20" t="n">
        <f aca="false">SUM(B24:M24)</f>
        <v>6776</v>
      </c>
    </row>
    <row r="25" customFormat="false" ht="15" hidden="false" customHeight="false" outlineLevel="0" collapsed="false">
      <c r="A25" s="22" t="s">
        <v>36</v>
      </c>
      <c r="B25" s="23" t="n">
        <f aca="false">SUM(B19:B24)</f>
        <v>2633</v>
      </c>
      <c r="C25" s="23" t="n">
        <f aca="false">SUM(C19:C24)</f>
        <v>4189</v>
      </c>
      <c r="D25" s="23" t="n">
        <f aca="false">SUM(D19:D24)</f>
        <v>3760</v>
      </c>
      <c r="E25" s="23" t="n">
        <f aca="false">SUM(E19:E24)</f>
        <v>4489</v>
      </c>
      <c r="F25" s="23" t="n">
        <f aca="false">SUM(F19:F24)</f>
        <v>4638</v>
      </c>
      <c r="G25" s="23" t="n">
        <f aca="false">SUM(G19:G24)</f>
        <v>2961</v>
      </c>
      <c r="H25" s="23" t="n">
        <f aca="false">SUM(H19:H24)</f>
        <v>2184</v>
      </c>
      <c r="I25" s="23" t="n">
        <f aca="false">SUM(I19:I24)</f>
        <v>4578</v>
      </c>
      <c r="J25" s="23" t="n">
        <f aca="false">SUM(J19:J24)</f>
        <v>4489</v>
      </c>
      <c r="K25" s="23" t="n">
        <f aca="false">SUM(K19:K24)</f>
        <v>4638</v>
      </c>
      <c r="L25" s="23" t="n">
        <f aca="false">SUM(L19:L24)</f>
        <v>4428</v>
      </c>
      <c r="M25" s="23" t="n">
        <f aca="false">SUM(M19:M24)</f>
        <v>2183</v>
      </c>
      <c r="N25" s="23" t="n">
        <f aca="false">SUM(N19:N24)</f>
        <v>45170</v>
      </c>
    </row>
    <row r="27" customFormat="false" ht="15" hidden="false" customHeight="false" outlineLevel="0" collapsed="false">
      <c r="A27" s="18" t="s">
        <v>37</v>
      </c>
      <c r="B27" s="19" t="s">
        <v>20</v>
      </c>
      <c r="C27" s="19" t="s">
        <v>21</v>
      </c>
      <c r="D27" s="19" t="s">
        <v>22</v>
      </c>
      <c r="E27" s="19" t="s">
        <v>23</v>
      </c>
      <c r="F27" s="19" t="s">
        <v>24</v>
      </c>
      <c r="G27" s="19" t="s">
        <v>25</v>
      </c>
      <c r="H27" s="19" t="s">
        <v>26</v>
      </c>
      <c r="I27" s="19" t="s">
        <v>27</v>
      </c>
      <c r="J27" s="19" t="s">
        <v>28</v>
      </c>
      <c r="K27" s="19" t="s">
        <v>29</v>
      </c>
      <c r="L27" s="19" t="s">
        <v>30</v>
      </c>
      <c r="M27" s="19" t="s">
        <v>31</v>
      </c>
      <c r="N27" s="19" t="s">
        <v>32</v>
      </c>
    </row>
    <row r="28" customFormat="false" ht="15" hidden="false" customHeight="false" outlineLevel="0" collapsed="false">
      <c r="A28" s="0" t="s">
        <v>11</v>
      </c>
      <c r="B28" s="21" t="n">
        <f aca="false">B19*$D$5</f>
        <v>3608100</v>
      </c>
      <c r="C28" s="21" t="n">
        <f aca="false">C19*$D$5</f>
        <v>5728500</v>
      </c>
      <c r="D28" s="21" t="n">
        <f aca="false">D19*$D$5</f>
        <v>5147100</v>
      </c>
      <c r="E28" s="21" t="n">
        <f aca="false">E19*$D$5</f>
        <v>6138900</v>
      </c>
      <c r="F28" s="21" t="n">
        <f aca="false">F19*$D$5</f>
        <v>6344100</v>
      </c>
      <c r="G28" s="21" t="n">
        <f aca="false">G19*$D$5</f>
        <v>4052700</v>
      </c>
      <c r="H28" s="21" t="n">
        <f aca="false">H19*$D$5</f>
        <v>2992500</v>
      </c>
      <c r="I28" s="21" t="n">
        <f aca="false">I19*$D$5</f>
        <v>6258600</v>
      </c>
      <c r="J28" s="21" t="n">
        <f aca="false">J19*$D$5</f>
        <v>6138900</v>
      </c>
      <c r="K28" s="21" t="n">
        <f aca="false">K19*$D$5</f>
        <v>6344100</v>
      </c>
      <c r="L28" s="21" t="n">
        <f aca="false">L19*$D$5</f>
        <v>6053400</v>
      </c>
      <c r="M28" s="21" t="n">
        <f aca="false">M19*$D$5</f>
        <v>2992500</v>
      </c>
      <c r="N28" s="20" t="n">
        <f aca="false">SUM(B28:M28)</f>
        <v>61799400</v>
      </c>
    </row>
    <row r="29" customFormat="false" ht="15" hidden="false" customHeight="false" outlineLevel="0" collapsed="false">
      <c r="A29" s="0" t="s">
        <v>12</v>
      </c>
      <c r="B29" s="21" t="n">
        <f aca="false">B20*$D$6</f>
        <v>6101600</v>
      </c>
      <c r="C29" s="21" t="n">
        <f aca="false">C20*$D$6</f>
        <v>9720800</v>
      </c>
      <c r="D29" s="21" t="n">
        <f aca="false">D20*$D$6</f>
        <v>8723200</v>
      </c>
      <c r="E29" s="21" t="n">
        <f aca="false">E20*$D$6</f>
        <v>10416800</v>
      </c>
      <c r="F29" s="21" t="n">
        <f aca="false">F20*$D$6</f>
        <v>10764800</v>
      </c>
      <c r="G29" s="21" t="n">
        <f aca="false">G20*$D$6</f>
        <v>6867200</v>
      </c>
      <c r="H29" s="21" t="n">
        <f aca="false">H20*$D$6</f>
        <v>5057600</v>
      </c>
      <c r="I29" s="21" t="n">
        <f aca="false">I20*$D$6</f>
        <v>10625600</v>
      </c>
      <c r="J29" s="21" t="n">
        <f aca="false">J20*$D$6</f>
        <v>10416800</v>
      </c>
      <c r="K29" s="21" t="n">
        <f aca="false">K20*$D$6</f>
        <v>10764800</v>
      </c>
      <c r="L29" s="21" t="n">
        <f aca="false">L20*$D$6</f>
        <v>10277600</v>
      </c>
      <c r="M29" s="21" t="n">
        <f aca="false">M20*$D$6</f>
        <v>5057600</v>
      </c>
      <c r="N29" s="20" t="n">
        <f aca="false">SUM(B29:M29)</f>
        <v>104794400</v>
      </c>
    </row>
    <row r="30" customFormat="false" ht="15" hidden="false" customHeight="false" outlineLevel="0" collapsed="false">
      <c r="A30" s="0" t="s">
        <v>13</v>
      </c>
      <c r="B30" s="21" t="n">
        <f aca="false">B21*$D$7</f>
        <v>6920400</v>
      </c>
      <c r="C30" s="21" t="n">
        <f aca="false">C21*$D$7</f>
        <v>11015700</v>
      </c>
      <c r="D30" s="21" t="n">
        <f aca="false">D21*$D$7</f>
        <v>9876900</v>
      </c>
      <c r="E30" s="21" t="n">
        <f aca="false">E21*$D$7</f>
        <v>11804100</v>
      </c>
      <c r="F30" s="21" t="n">
        <f aca="false">F21*$D$7</f>
        <v>12176400</v>
      </c>
      <c r="G30" s="21" t="n">
        <f aca="false">G21*$D$7</f>
        <v>7774500</v>
      </c>
      <c r="H30" s="21" t="n">
        <f aca="false">H21*$D$7</f>
        <v>5737800</v>
      </c>
      <c r="I30" s="21" t="n">
        <f aca="false">I21*$D$7</f>
        <v>12023100</v>
      </c>
      <c r="J30" s="21" t="n">
        <f aca="false">J21*$D$7</f>
        <v>11804100</v>
      </c>
      <c r="K30" s="21" t="n">
        <f aca="false">K21*$D$7</f>
        <v>12176400</v>
      </c>
      <c r="L30" s="21" t="n">
        <f aca="false">L21*$D$7</f>
        <v>11628900</v>
      </c>
      <c r="M30" s="21" t="n">
        <f aca="false">M21*$D$7</f>
        <v>5759700</v>
      </c>
      <c r="N30" s="20" t="n">
        <f aca="false">SUM(B30:M30)</f>
        <v>118698000</v>
      </c>
    </row>
    <row r="31" customFormat="false" ht="15" hidden="false" customHeight="false" outlineLevel="0" collapsed="false">
      <c r="A31" s="0" t="s">
        <v>14</v>
      </c>
      <c r="B31" s="21" t="n">
        <f aca="false">B22*$D$8</f>
        <v>33654000</v>
      </c>
      <c r="C31" s="21" t="n">
        <f aca="false">C22*$D$8</f>
        <v>53534000</v>
      </c>
      <c r="D31" s="21" t="n">
        <f aca="false">D22*$D$8</f>
        <v>48052800</v>
      </c>
      <c r="E31" s="21" t="n">
        <f aca="false">E22*$D$8</f>
        <v>57368000</v>
      </c>
      <c r="F31" s="21" t="n">
        <f aca="false">F22*$D$8</f>
        <v>59270800</v>
      </c>
      <c r="G31" s="21" t="n">
        <f aca="false">G22*$D$8</f>
        <v>37857200</v>
      </c>
      <c r="H31" s="21" t="n">
        <f aca="false">H22*$D$8</f>
        <v>27917200</v>
      </c>
      <c r="I31" s="21" t="n">
        <f aca="false">I22*$D$8</f>
        <v>58504000</v>
      </c>
      <c r="J31" s="21" t="n">
        <f aca="false">J22*$D$8</f>
        <v>57368000</v>
      </c>
      <c r="K31" s="21" t="n">
        <f aca="false">K22*$D$8</f>
        <v>59270800</v>
      </c>
      <c r="L31" s="21" t="n">
        <f aca="false">L22*$D$8</f>
        <v>56601200</v>
      </c>
      <c r="M31" s="21" t="n">
        <f aca="false">M22*$D$8</f>
        <v>27860400</v>
      </c>
      <c r="N31" s="20" t="n">
        <f aca="false">SUM(B31:M31)</f>
        <v>577258400</v>
      </c>
    </row>
    <row r="32" customFormat="false" ht="15" hidden="false" customHeight="false" outlineLevel="0" collapsed="false">
      <c r="A32" s="0" t="s">
        <v>15</v>
      </c>
      <c r="B32" s="21" t="n">
        <f aca="false">B23*$D$9</f>
        <v>7048400</v>
      </c>
      <c r="C32" s="21" t="n">
        <f aca="false">C23*$D$9</f>
        <v>11229200</v>
      </c>
      <c r="D32" s="21" t="n">
        <f aca="false">D23*$D$9</f>
        <v>10076800</v>
      </c>
      <c r="E32" s="21" t="n">
        <f aca="false">E23*$D$9</f>
        <v>12033200</v>
      </c>
      <c r="F32" s="21" t="n">
        <f aca="false">F23*$D$9</f>
        <v>12435200</v>
      </c>
      <c r="G32" s="21" t="n">
        <f aca="false">G23*$D$9</f>
        <v>7932800</v>
      </c>
      <c r="H32" s="21" t="n">
        <f aca="false">H23*$D$9</f>
        <v>5842400</v>
      </c>
      <c r="I32" s="21" t="n">
        <f aca="false">I23*$D$9</f>
        <v>12274400</v>
      </c>
      <c r="J32" s="21" t="n">
        <f aca="false">J23*$D$9</f>
        <v>12033200</v>
      </c>
      <c r="K32" s="21" t="n">
        <f aca="false">K23*$D$9</f>
        <v>12435200</v>
      </c>
      <c r="L32" s="21" t="n">
        <f aca="false">L23*$D$9</f>
        <v>11872400</v>
      </c>
      <c r="M32" s="21" t="n">
        <f aca="false">M23*$D$9</f>
        <v>5842400</v>
      </c>
      <c r="N32" s="20" t="n">
        <f aca="false">SUM(B32:M32)</f>
        <v>121055600</v>
      </c>
    </row>
    <row r="33" customFormat="false" ht="15" hidden="false" customHeight="false" outlineLevel="0" collapsed="false">
      <c r="A33" s="0" t="s">
        <v>16</v>
      </c>
      <c r="B33" s="21" t="n">
        <f aca="false">B24*$D$10</f>
        <v>13351000</v>
      </c>
      <c r="C33" s="21" t="n">
        <f aca="false">C24*$D$10</f>
        <v>21226400</v>
      </c>
      <c r="D33" s="21" t="n">
        <f aca="false">D24*$D$10</f>
        <v>19063200</v>
      </c>
      <c r="E33" s="21" t="n">
        <f aca="false">E24*$D$10</f>
        <v>22747400</v>
      </c>
      <c r="F33" s="21" t="n">
        <f aca="false">F24*$D$10</f>
        <v>23524800</v>
      </c>
      <c r="G33" s="21" t="n">
        <f aca="false">G24*$D$10</f>
        <v>15007200</v>
      </c>
      <c r="H33" s="21" t="n">
        <f aca="false">H24*$D$10</f>
        <v>11086400</v>
      </c>
      <c r="I33" s="21" t="n">
        <f aca="false">I24*$D$10</f>
        <v>23220600</v>
      </c>
      <c r="J33" s="21" t="n">
        <f aca="false">J24*$D$10</f>
        <v>22747400</v>
      </c>
      <c r="K33" s="21" t="n">
        <f aca="false">K24*$D$10</f>
        <v>23524800</v>
      </c>
      <c r="L33" s="21" t="n">
        <f aca="false">L24*$D$10</f>
        <v>22443200</v>
      </c>
      <c r="M33" s="21" t="n">
        <f aca="false">M24*$D$10</f>
        <v>11086400</v>
      </c>
      <c r="N33" s="20" t="n">
        <f aca="false">SUM(B33:M33)</f>
        <v>229028800</v>
      </c>
    </row>
    <row r="34" customFormat="false" ht="15" hidden="false" customHeight="false" outlineLevel="0" collapsed="false">
      <c r="A34" s="22" t="s">
        <v>38</v>
      </c>
      <c r="B34" s="23" t="n">
        <f aca="false">SUM(B28:B33)</f>
        <v>70683500</v>
      </c>
      <c r="C34" s="23" t="n">
        <f aca="false">SUM(C28:C33)</f>
        <v>112454600</v>
      </c>
      <c r="D34" s="23" t="n">
        <f aca="false">SUM(D28:D33)</f>
        <v>100940000</v>
      </c>
      <c r="E34" s="23" t="n">
        <f aca="false">SUM(E28:E33)</f>
        <v>120508400</v>
      </c>
      <c r="F34" s="23" t="n">
        <f aca="false">SUM(F28:F33)</f>
        <v>124516100</v>
      </c>
      <c r="G34" s="23" t="n">
        <f aca="false">SUM(G28:G33)</f>
        <v>79491600</v>
      </c>
      <c r="H34" s="23" t="n">
        <f aca="false">SUM(H28:H33)</f>
        <v>58633900</v>
      </c>
      <c r="I34" s="23" t="n">
        <f aca="false">SUM(I28:I33)</f>
        <v>122906300</v>
      </c>
      <c r="J34" s="23" t="n">
        <f aca="false">SUM(J28:J33)</f>
        <v>120508400</v>
      </c>
      <c r="K34" s="23" t="n">
        <f aca="false">SUM(K28:K33)</f>
        <v>124516100</v>
      </c>
      <c r="L34" s="23" t="n">
        <f aca="false">SUM(L28:L33)</f>
        <v>118876700</v>
      </c>
      <c r="M34" s="23" t="n">
        <f aca="false">SUM(M28:M33)</f>
        <v>58599000</v>
      </c>
      <c r="N34" s="23" t="n">
        <f aca="false">SUM(N28:N33)</f>
        <v>1212634600</v>
      </c>
    </row>
    <row r="36" customFormat="false" ht="15" hidden="false" customHeight="false" outlineLevel="0" collapsed="false">
      <c r="A36" s="18" t="s">
        <v>39</v>
      </c>
      <c r="B36" s="19" t="s">
        <v>20</v>
      </c>
      <c r="C36" s="19" t="s">
        <v>21</v>
      </c>
      <c r="D36" s="19" t="s">
        <v>22</v>
      </c>
      <c r="E36" s="19" t="s">
        <v>23</v>
      </c>
      <c r="F36" s="19" t="s">
        <v>24</v>
      </c>
      <c r="G36" s="19" t="s">
        <v>25</v>
      </c>
      <c r="H36" s="19" t="s">
        <v>26</v>
      </c>
      <c r="I36" s="19" t="s">
        <v>27</v>
      </c>
      <c r="J36" s="19" t="s">
        <v>28</v>
      </c>
      <c r="K36" s="19" t="s">
        <v>29</v>
      </c>
      <c r="L36" s="19" t="s">
        <v>30</v>
      </c>
      <c r="M36" s="19" t="s">
        <v>31</v>
      </c>
      <c r="N36" s="19" t="s">
        <v>32</v>
      </c>
    </row>
    <row r="37" customFormat="false" ht="15" hidden="false" customHeight="false" outlineLevel="0" collapsed="false">
      <c r="A37" s="0" t="s">
        <v>11</v>
      </c>
      <c r="B37" s="21" t="n">
        <f aca="false">B19*$G$5</f>
        <v>1997748</v>
      </c>
      <c r="C37" s="21" t="n">
        <f aca="false">C19*$G$5</f>
        <v>3171780</v>
      </c>
      <c r="D37" s="21" t="n">
        <f aca="false">D19*$G$5</f>
        <v>2849868</v>
      </c>
      <c r="E37" s="21" t="n">
        <f aca="false">E19*$G$5</f>
        <v>3399012</v>
      </c>
      <c r="F37" s="21" t="n">
        <f aca="false">F19*$G$5</f>
        <v>3512628</v>
      </c>
      <c r="G37" s="21" t="n">
        <f aca="false">G19*$G$5</f>
        <v>2243916</v>
      </c>
      <c r="H37" s="21" t="n">
        <f aca="false">H19*$G$5</f>
        <v>1656900</v>
      </c>
      <c r="I37" s="21" t="n">
        <f aca="false">I19*$G$5</f>
        <v>3465288</v>
      </c>
      <c r="J37" s="21" t="n">
        <f aca="false">J19*$G$5</f>
        <v>3399012</v>
      </c>
      <c r="K37" s="21" t="n">
        <f aca="false">K19*$G$5</f>
        <v>3512628</v>
      </c>
      <c r="L37" s="21" t="n">
        <f aca="false">L19*$G$5</f>
        <v>3351672</v>
      </c>
      <c r="M37" s="21" t="n">
        <f aca="false">M19*$G$5</f>
        <v>1656900</v>
      </c>
      <c r="N37" s="20" t="n">
        <f aca="false">SUM(B37:M37)</f>
        <v>34217352</v>
      </c>
    </row>
    <row r="38" customFormat="false" ht="15" hidden="false" customHeight="false" outlineLevel="0" collapsed="false">
      <c r="A38" s="0" t="s">
        <v>12</v>
      </c>
      <c r="B38" s="21" t="n">
        <f aca="false">B20*$G$6</f>
        <v>3378498</v>
      </c>
      <c r="C38" s="21" t="n">
        <f aca="false">C20*$G$6</f>
        <v>5382474</v>
      </c>
      <c r="D38" s="21" t="n">
        <f aca="false">D20*$G$6</f>
        <v>4830096</v>
      </c>
      <c r="E38" s="21" t="n">
        <f aca="false">E20*$G$6</f>
        <v>5767854</v>
      </c>
      <c r="F38" s="21" t="n">
        <f aca="false">F20*$G$6</f>
        <v>5960544</v>
      </c>
      <c r="G38" s="21" t="n">
        <f aca="false">G20*$G$6</f>
        <v>3802416</v>
      </c>
      <c r="H38" s="21" t="n">
        <f aca="false">H20*$G$6</f>
        <v>2800428</v>
      </c>
      <c r="I38" s="21" t="n">
        <f aca="false">I20*$G$6</f>
        <v>5883468</v>
      </c>
      <c r="J38" s="21" t="n">
        <f aca="false">J20*$G$6</f>
        <v>5767854</v>
      </c>
      <c r="K38" s="21" t="n">
        <f aca="false">K20*$G$6</f>
        <v>5960544</v>
      </c>
      <c r="L38" s="21" t="n">
        <f aca="false">L20*$G$6</f>
        <v>5690778</v>
      </c>
      <c r="M38" s="21" t="n">
        <f aca="false">M20*$G$6</f>
        <v>2800428</v>
      </c>
      <c r="N38" s="20" t="n">
        <f aca="false">SUM(B38:M38)</f>
        <v>58025382</v>
      </c>
    </row>
    <row r="39" customFormat="false" ht="15" hidden="false" customHeight="false" outlineLevel="0" collapsed="false">
      <c r="A39" s="0" t="s">
        <v>13</v>
      </c>
      <c r="B39" s="21" t="n">
        <f aca="false">B21*$G$7</f>
        <v>3831816</v>
      </c>
      <c r="C39" s="21" t="n">
        <f aca="false">C21*$G$7</f>
        <v>6099378</v>
      </c>
      <c r="D39" s="21" t="n">
        <f aca="false">D21*$G$7</f>
        <v>5468826</v>
      </c>
      <c r="E39" s="21" t="n">
        <f aca="false">E21*$G$7</f>
        <v>6535914</v>
      </c>
      <c r="F39" s="21" t="n">
        <f aca="false">F21*$G$7</f>
        <v>6742056</v>
      </c>
      <c r="G39" s="21" t="n">
        <f aca="false">G21*$G$7</f>
        <v>4304730</v>
      </c>
      <c r="H39" s="21" t="n">
        <f aca="false">H21*$G$7</f>
        <v>3177012</v>
      </c>
      <c r="I39" s="21" t="n">
        <f aca="false">I21*$G$7</f>
        <v>6657174</v>
      </c>
      <c r="J39" s="21" t="n">
        <f aca="false">J21*$G$7</f>
        <v>6535914</v>
      </c>
      <c r="K39" s="21" t="n">
        <f aca="false">K21*$G$7</f>
        <v>6742056</v>
      </c>
      <c r="L39" s="21" t="n">
        <f aca="false">L21*$G$7</f>
        <v>6438906</v>
      </c>
      <c r="M39" s="21" t="n">
        <f aca="false">M21*$G$7</f>
        <v>3189138</v>
      </c>
      <c r="N39" s="20" t="n">
        <f aca="false">SUM(B39:M39)</f>
        <v>65722920</v>
      </c>
    </row>
    <row r="40" customFormat="false" ht="15" hidden="false" customHeight="false" outlineLevel="0" collapsed="false">
      <c r="A40" s="0" t="s">
        <v>14</v>
      </c>
      <c r="B40" s="21" t="n">
        <f aca="false">B22*$G$8</f>
        <v>18634125</v>
      </c>
      <c r="C40" s="21" t="n">
        <f aca="false">C22*$G$8</f>
        <v>29641625</v>
      </c>
      <c r="D40" s="21" t="n">
        <f aca="false">D22*$G$8</f>
        <v>26606700</v>
      </c>
      <c r="E40" s="21" t="n">
        <f aca="false">E22*$G$8</f>
        <v>31764500</v>
      </c>
      <c r="F40" s="21" t="n">
        <f aca="false">F22*$G$8</f>
        <v>32818075</v>
      </c>
      <c r="G40" s="21" t="n">
        <f aca="false">G22*$G$8</f>
        <v>20961425</v>
      </c>
      <c r="H40" s="21" t="n">
        <f aca="false">H22*$G$8</f>
        <v>15457675</v>
      </c>
      <c r="I40" s="21" t="n">
        <f aca="false">I22*$G$8</f>
        <v>32393500</v>
      </c>
      <c r="J40" s="21" t="n">
        <f aca="false">J22*$G$8</f>
        <v>31764500</v>
      </c>
      <c r="K40" s="21" t="n">
        <f aca="false">K22*$G$8</f>
        <v>32818075</v>
      </c>
      <c r="L40" s="21" t="n">
        <f aca="false">L22*$G$8</f>
        <v>31339925</v>
      </c>
      <c r="M40" s="21" t="n">
        <f aca="false">M22*$G$8</f>
        <v>15426225</v>
      </c>
      <c r="N40" s="20" t="n">
        <f aca="false">SUM(B40:M40)</f>
        <v>319626350</v>
      </c>
    </row>
    <row r="41" customFormat="false" ht="15" hidden="false" customHeight="false" outlineLevel="0" collapsed="false">
      <c r="A41" s="0" t="s">
        <v>15</v>
      </c>
      <c r="B41" s="21" t="n">
        <f aca="false">B23*$G$9</f>
        <v>3902657</v>
      </c>
      <c r="C41" s="21" t="n">
        <f aca="false">C23*$G$9</f>
        <v>6217541</v>
      </c>
      <c r="D41" s="21" t="n">
        <f aca="false">D23*$G$9</f>
        <v>5579464</v>
      </c>
      <c r="E41" s="21" t="n">
        <f aca="false">E23*$G$9</f>
        <v>6662711</v>
      </c>
      <c r="F41" s="21" t="n">
        <f aca="false">F23*$G$9</f>
        <v>6885296</v>
      </c>
      <c r="G41" s="21" t="n">
        <f aca="false">G23*$G$9</f>
        <v>4392344</v>
      </c>
      <c r="H41" s="21" t="n">
        <f aca="false">H23*$G$9</f>
        <v>3234902</v>
      </c>
      <c r="I41" s="21" t="n">
        <f aca="false">I23*$G$9</f>
        <v>6796262</v>
      </c>
      <c r="J41" s="21" t="n">
        <f aca="false">J23*$G$9</f>
        <v>6662711</v>
      </c>
      <c r="K41" s="21" t="n">
        <f aca="false">K23*$G$9</f>
        <v>6885296</v>
      </c>
      <c r="L41" s="21" t="n">
        <f aca="false">L23*$G$9</f>
        <v>6573677</v>
      </c>
      <c r="M41" s="21" t="n">
        <f aca="false">M23*$G$9</f>
        <v>3234902</v>
      </c>
      <c r="N41" s="20" t="n">
        <f aca="false">SUM(B41:M41)</f>
        <v>67027763</v>
      </c>
    </row>
    <row r="42" customFormat="false" ht="15" hidden="false" customHeight="false" outlineLevel="0" collapsed="false">
      <c r="A42" s="0" t="s">
        <v>16</v>
      </c>
      <c r="B42" s="21" t="n">
        <f aca="false">B24*$G$10</f>
        <v>7392425</v>
      </c>
      <c r="C42" s="21" t="n">
        <f aca="false">C24*$G$10</f>
        <v>11753020</v>
      </c>
      <c r="D42" s="21" t="n">
        <f aca="false">D24*$G$10</f>
        <v>10555260</v>
      </c>
      <c r="E42" s="21" t="n">
        <f aca="false">E24*$G$10</f>
        <v>12595195</v>
      </c>
      <c r="F42" s="21" t="n">
        <f aca="false">F24*$G$10</f>
        <v>13025640</v>
      </c>
      <c r="G42" s="21" t="n">
        <f aca="false">G24*$G$10</f>
        <v>8309460</v>
      </c>
      <c r="H42" s="21" t="n">
        <f aca="false">H24*$G$10</f>
        <v>6138520</v>
      </c>
      <c r="I42" s="21" t="n">
        <f aca="false">I24*$G$10</f>
        <v>12857205</v>
      </c>
      <c r="J42" s="21" t="n">
        <f aca="false">J24*$G$10</f>
        <v>12595195</v>
      </c>
      <c r="K42" s="21" t="n">
        <f aca="false">K24*$G$10</f>
        <v>13025640</v>
      </c>
      <c r="L42" s="21" t="n">
        <f aca="false">L24*$G$10</f>
        <v>12426760</v>
      </c>
      <c r="M42" s="21" t="n">
        <f aca="false">M24*$G$10</f>
        <v>6138520</v>
      </c>
      <c r="N42" s="20" t="n">
        <f aca="false">SUM(B42:M42)</f>
        <v>126812840</v>
      </c>
    </row>
    <row r="43" customFormat="false" ht="15" hidden="false" customHeight="false" outlineLevel="0" collapsed="false">
      <c r="A43" s="22" t="s">
        <v>40</v>
      </c>
      <c r="B43" s="23" t="n">
        <f aca="false">SUM(B37:B42)</f>
        <v>39137269</v>
      </c>
      <c r="C43" s="23" t="n">
        <f aca="false">SUM(C37:C42)</f>
        <v>62265818</v>
      </c>
      <c r="D43" s="23" t="n">
        <f aca="false">SUM(D37:D42)</f>
        <v>55890214</v>
      </c>
      <c r="E43" s="23" t="n">
        <f aca="false">SUM(E37:E42)</f>
        <v>66725186</v>
      </c>
      <c r="F43" s="23" t="n">
        <f aca="false">SUM(F37:F42)</f>
        <v>68944239</v>
      </c>
      <c r="G43" s="23" t="n">
        <f aca="false">SUM(G37:G42)</f>
        <v>44014291</v>
      </c>
      <c r="H43" s="23" t="n">
        <f aca="false">SUM(H37:H42)</f>
        <v>32465437</v>
      </c>
      <c r="I43" s="23" t="n">
        <f aca="false">SUM(I37:I42)</f>
        <v>68052897</v>
      </c>
      <c r="J43" s="23" t="n">
        <f aca="false">SUM(J37:J42)</f>
        <v>66725186</v>
      </c>
      <c r="K43" s="23" t="n">
        <f aca="false">SUM(K37:K42)</f>
        <v>68944239</v>
      </c>
      <c r="L43" s="23" t="n">
        <f aca="false">SUM(L37:L42)</f>
        <v>65821718</v>
      </c>
      <c r="M43" s="23" t="n">
        <f aca="false">SUM(M37:M42)</f>
        <v>32446113</v>
      </c>
      <c r="N43" s="23" t="n">
        <f aca="false">SUM(N37:N42)</f>
        <v>671432607</v>
      </c>
    </row>
    <row r="45" customFormat="false" ht="15" hidden="false" customHeight="false" outlineLevel="0" collapsed="false">
      <c r="A45" s="24" t="s">
        <v>41</v>
      </c>
      <c r="E45" s="22" t="str">
        <f aca="false">IF(ABS(N34-E11)&lt;1,"OK","REVISAR")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8" t="s">
        <v>42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30</v>
      </c>
      <c r="M1" s="19" t="s">
        <v>31</v>
      </c>
      <c r="N1" s="19" t="s">
        <v>43</v>
      </c>
    </row>
    <row r="2" customFormat="false" ht="15" hidden="false" customHeight="false" outlineLevel="0" collapsed="false">
      <c r="A2" s="25" t="s">
        <v>44</v>
      </c>
      <c r="B2" s="26" t="n">
        <f aca="false">'Ventas por Producto 2026'!B25</f>
        <v>2633</v>
      </c>
      <c r="C2" s="26" t="n">
        <f aca="false">'Ventas por Producto 2026'!C25</f>
        <v>4189</v>
      </c>
      <c r="D2" s="26" t="n">
        <f aca="false">'Ventas por Producto 2026'!D25</f>
        <v>3760</v>
      </c>
      <c r="E2" s="26" t="n">
        <f aca="false">'Ventas por Producto 2026'!E25</f>
        <v>4489</v>
      </c>
      <c r="F2" s="26" t="n">
        <f aca="false">'Ventas por Producto 2026'!F25</f>
        <v>4638</v>
      </c>
      <c r="G2" s="26" t="n">
        <f aca="false">'Ventas por Producto 2026'!G25</f>
        <v>2961</v>
      </c>
      <c r="H2" s="26" t="n">
        <f aca="false">'Ventas por Producto 2026'!H25</f>
        <v>2184</v>
      </c>
      <c r="I2" s="26" t="n">
        <f aca="false">'Ventas por Producto 2026'!I25</f>
        <v>4578</v>
      </c>
      <c r="J2" s="26" t="n">
        <f aca="false">'Ventas por Producto 2026'!J25</f>
        <v>4489</v>
      </c>
      <c r="K2" s="26" t="n">
        <f aca="false">'Ventas por Producto 2026'!K25</f>
        <v>4638</v>
      </c>
      <c r="L2" s="26" t="n">
        <f aca="false">'Ventas por Producto 2026'!L25</f>
        <v>4428</v>
      </c>
      <c r="M2" s="26" t="n">
        <f aca="false">'Ventas por Producto 2026'!M25</f>
        <v>2183</v>
      </c>
      <c r="N2" s="20" t="n">
        <f aca="false">SUM(B2:M2)</f>
        <v>45170</v>
      </c>
    </row>
    <row r="3" customFormat="false" ht="15" hidden="false" customHeight="false" outlineLevel="0" collapsed="false">
      <c r="A3" s="27" t="s">
        <v>45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customFormat="false" ht="15" hidden="false" customHeight="false" outlineLevel="0" collapsed="false">
      <c r="A4" s="25" t="s">
        <v>46</v>
      </c>
      <c r="B4" s="26" t="n">
        <f aca="false">'Ventas por Producto 2026'!B28</f>
        <v>3608100</v>
      </c>
      <c r="C4" s="26" t="n">
        <f aca="false">'Ventas por Producto 2026'!C28</f>
        <v>5728500</v>
      </c>
      <c r="D4" s="26" t="n">
        <f aca="false">'Ventas por Producto 2026'!D28</f>
        <v>5147100</v>
      </c>
      <c r="E4" s="26" t="n">
        <f aca="false">'Ventas por Producto 2026'!E28</f>
        <v>6138900</v>
      </c>
      <c r="F4" s="26" t="n">
        <f aca="false">'Ventas por Producto 2026'!F28</f>
        <v>6344100</v>
      </c>
      <c r="G4" s="26" t="n">
        <f aca="false">'Ventas por Producto 2026'!G28</f>
        <v>4052700</v>
      </c>
      <c r="H4" s="26" t="n">
        <f aca="false">'Ventas por Producto 2026'!H28</f>
        <v>2992500</v>
      </c>
      <c r="I4" s="26" t="n">
        <f aca="false">'Ventas por Producto 2026'!I28</f>
        <v>6258600</v>
      </c>
      <c r="J4" s="26" t="n">
        <f aca="false">'Ventas por Producto 2026'!J28</f>
        <v>6138900</v>
      </c>
      <c r="K4" s="26" t="n">
        <f aca="false">'Ventas por Producto 2026'!K28</f>
        <v>6344100</v>
      </c>
      <c r="L4" s="26" t="n">
        <f aca="false">'Ventas por Producto 2026'!L28</f>
        <v>6053400</v>
      </c>
      <c r="M4" s="26" t="n">
        <f aca="false">'Ventas por Producto 2026'!M28</f>
        <v>2992500</v>
      </c>
      <c r="N4" s="20" t="n">
        <f aca="false">SUM(B4:M4)</f>
        <v>61799400</v>
      </c>
    </row>
    <row r="5" customFormat="false" ht="15" hidden="false" customHeight="false" outlineLevel="0" collapsed="false">
      <c r="A5" s="25" t="s">
        <v>47</v>
      </c>
      <c r="B5" s="26" t="n">
        <f aca="false">'Ventas por Producto 2026'!B29</f>
        <v>6101600</v>
      </c>
      <c r="C5" s="26" t="n">
        <f aca="false">'Ventas por Producto 2026'!C29</f>
        <v>9720800</v>
      </c>
      <c r="D5" s="26" t="n">
        <f aca="false">'Ventas por Producto 2026'!D29</f>
        <v>8723200</v>
      </c>
      <c r="E5" s="26" t="n">
        <f aca="false">'Ventas por Producto 2026'!E29</f>
        <v>10416800</v>
      </c>
      <c r="F5" s="26" t="n">
        <f aca="false">'Ventas por Producto 2026'!F29</f>
        <v>10764800</v>
      </c>
      <c r="G5" s="26" t="n">
        <f aca="false">'Ventas por Producto 2026'!G29</f>
        <v>6867200</v>
      </c>
      <c r="H5" s="26" t="n">
        <f aca="false">'Ventas por Producto 2026'!H29</f>
        <v>5057600</v>
      </c>
      <c r="I5" s="26" t="n">
        <f aca="false">'Ventas por Producto 2026'!I29</f>
        <v>10625600</v>
      </c>
      <c r="J5" s="26" t="n">
        <f aca="false">'Ventas por Producto 2026'!J29</f>
        <v>10416800</v>
      </c>
      <c r="K5" s="26" t="n">
        <f aca="false">'Ventas por Producto 2026'!K29</f>
        <v>10764800</v>
      </c>
      <c r="L5" s="26" t="n">
        <f aca="false">'Ventas por Producto 2026'!L29</f>
        <v>10277600</v>
      </c>
      <c r="M5" s="26" t="n">
        <f aca="false">'Ventas por Producto 2026'!M29</f>
        <v>5057600</v>
      </c>
      <c r="N5" s="20" t="n">
        <f aca="false">SUM(B5:M5)</f>
        <v>104794400</v>
      </c>
    </row>
    <row r="6" customFormat="false" ht="15" hidden="false" customHeight="false" outlineLevel="0" collapsed="false">
      <c r="A6" s="25" t="s">
        <v>48</v>
      </c>
      <c r="B6" s="26" t="n">
        <f aca="false">'Ventas por Producto 2026'!B30</f>
        <v>6920400</v>
      </c>
      <c r="C6" s="26" t="n">
        <f aca="false">'Ventas por Producto 2026'!C30</f>
        <v>11015700</v>
      </c>
      <c r="D6" s="26" t="n">
        <f aca="false">'Ventas por Producto 2026'!D30</f>
        <v>9876900</v>
      </c>
      <c r="E6" s="26" t="n">
        <f aca="false">'Ventas por Producto 2026'!E30</f>
        <v>11804100</v>
      </c>
      <c r="F6" s="26" t="n">
        <f aca="false">'Ventas por Producto 2026'!F30</f>
        <v>12176400</v>
      </c>
      <c r="G6" s="26" t="n">
        <f aca="false">'Ventas por Producto 2026'!G30</f>
        <v>7774500</v>
      </c>
      <c r="H6" s="26" t="n">
        <f aca="false">'Ventas por Producto 2026'!H30</f>
        <v>5737800</v>
      </c>
      <c r="I6" s="26" t="n">
        <f aca="false">'Ventas por Producto 2026'!I30</f>
        <v>12023100</v>
      </c>
      <c r="J6" s="26" t="n">
        <f aca="false">'Ventas por Producto 2026'!J30</f>
        <v>11804100</v>
      </c>
      <c r="K6" s="26" t="n">
        <f aca="false">'Ventas por Producto 2026'!K30</f>
        <v>12176400</v>
      </c>
      <c r="L6" s="26" t="n">
        <f aca="false">'Ventas por Producto 2026'!L30</f>
        <v>11628900</v>
      </c>
      <c r="M6" s="26" t="n">
        <f aca="false">'Ventas por Producto 2026'!M30</f>
        <v>5759700</v>
      </c>
      <c r="N6" s="20" t="n">
        <f aca="false">SUM(B6:M6)</f>
        <v>118698000</v>
      </c>
    </row>
    <row r="7" customFormat="false" ht="15" hidden="false" customHeight="false" outlineLevel="0" collapsed="false">
      <c r="A7" s="25" t="s">
        <v>49</v>
      </c>
      <c r="B7" s="26" t="n">
        <f aca="false">'Ventas por Producto 2026'!B31</f>
        <v>33654000</v>
      </c>
      <c r="C7" s="26" t="n">
        <f aca="false">'Ventas por Producto 2026'!C31</f>
        <v>53534000</v>
      </c>
      <c r="D7" s="26" t="n">
        <f aca="false">'Ventas por Producto 2026'!D31</f>
        <v>48052800</v>
      </c>
      <c r="E7" s="26" t="n">
        <f aca="false">'Ventas por Producto 2026'!E31</f>
        <v>57368000</v>
      </c>
      <c r="F7" s="26" t="n">
        <f aca="false">'Ventas por Producto 2026'!F31</f>
        <v>59270800</v>
      </c>
      <c r="G7" s="26" t="n">
        <f aca="false">'Ventas por Producto 2026'!G31</f>
        <v>37857200</v>
      </c>
      <c r="H7" s="26" t="n">
        <f aca="false">'Ventas por Producto 2026'!H31</f>
        <v>27917200</v>
      </c>
      <c r="I7" s="26" t="n">
        <f aca="false">'Ventas por Producto 2026'!I31</f>
        <v>58504000</v>
      </c>
      <c r="J7" s="26" t="n">
        <f aca="false">'Ventas por Producto 2026'!J31</f>
        <v>57368000</v>
      </c>
      <c r="K7" s="26" t="n">
        <f aca="false">'Ventas por Producto 2026'!K31</f>
        <v>59270800</v>
      </c>
      <c r="L7" s="26" t="n">
        <f aca="false">'Ventas por Producto 2026'!L31</f>
        <v>56601200</v>
      </c>
      <c r="M7" s="26" t="n">
        <f aca="false">'Ventas por Producto 2026'!M31</f>
        <v>27860400</v>
      </c>
      <c r="N7" s="20" t="n">
        <f aca="false">SUM(B7:M7)</f>
        <v>577258400</v>
      </c>
    </row>
    <row r="8" customFormat="false" ht="15" hidden="false" customHeight="false" outlineLevel="0" collapsed="false">
      <c r="A8" s="25" t="s">
        <v>50</v>
      </c>
      <c r="B8" s="26" t="n">
        <f aca="false">'Ventas por Producto 2026'!B32</f>
        <v>7048400</v>
      </c>
      <c r="C8" s="26" t="n">
        <f aca="false">'Ventas por Producto 2026'!C32</f>
        <v>11229200</v>
      </c>
      <c r="D8" s="26" t="n">
        <f aca="false">'Ventas por Producto 2026'!D32</f>
        <v>10076800</v>
      </c>
      <c r="E8" s="26" t="n">
        <f aca="false">'Ventas por Producto 2026'!E32</f>
        <v>12033200</v>
      </c>
      <c r="F8" s="26" t="n">
        <f aca="false">'Ventas por Producto 2026'!F32</f>
        <v>12435200</v>
      </c>
      <c r="G8" s="26" t="n">
        <f aca="false">'Ventas por Producto 2026'!G32</f>
        <v>7932800</v>
      </c>
      <c r="H8" s="26" t="n">
        <f aca="false">'Ventas por Producto 2026'!H32</f>
        <v>5842400</v>
      </c>
      <c r="I8" s="26" t="n">
        <f aca="false">'Ventas por Producto 2026'!I32</f>
        <v>12274400</v>
      </c>
      <c r="J8" s="26" t="n">
        <f aca="false">'Ventas por Producto 2026'!J32</f>
        <v>12033200</v>
      </c>
      <c r="K8" s="26" t="n">
        <f aca="false">'Ventas por Producto 2026'!K32</f>
        <v>12435200</v>
      </c>
      <c r="L8" s="26" t="n">
        <f aca="false">'Ventas por Producto 2026'!L32</f>
        <v>11872400</v>
      </c>
      <c r="M8" s="26" t="n">
        <f aca="false">'Ventas por Producto 2026'!M32</f>
        <v>5842400</v>
      </c>
      <c r="N8" s="20" t="n">
        <f aca="false">SUM(B8:M8)</f>
        <v>121055600</v>
      </c>
    </row>
    <row r="9" customFormat="false" ht="15" hidden="false" customHeight="false" outlineLevel="0" collapsed="false">
      <c r="A9" s="25" t="s">
        <v>51</v>
      </c>
      <c r="B9" s="26" t="n">
        <f aca="false">'Ventas por Producto 2026'!B33</f>
        <v>13351000</v>
      </c>
      <c r="C9" s="26" t="n">
        <f aca="false">'Ventas por Producto 2026'!C33</f>
        <v>21226400</v>
      </c>
      <c r="D9" s="26" t="n">
        <f aca="false">'Ventas por Producto 2026'!D33</f>
        <v>19063200</v>
      </c>
      <c r="E9" s="26" t="n">
        <f aca="false">'Ventas por Producto 2026'!E33</f>
        <v>22747400</v>
      </c>
      <c r="F9" s="26" t="n">
        <f aca="false">'Ventas por Producto 2026'!F33</f>
        <v>23524800</v>
      </c>
      <c r="G9" s="26" t="n">
        <f aca="false">'Ventas por Producto 2026'!G33</f>
        <v>15007200</v>
      </c>
      <c r="H9" s="26" t="n">
        <f aca="false">'Ventas por Producto 2026'!H33</f>
        <v>11086400</v>
      </c>
      <c r="I9" s="26" t="n">
        <f aca="false">'Ventas por Producto 2026'!I33</f>
        <v>23220600</v>
      </c>
      <c r="J9" s="26" t="n">
        <f aca="false">'Ventas por Producto 2026'!J33</f>
        <v>22747400</v>
      </c>
      <c r="K9" s="26" t="n">
        <f aca="false">'Ventas por Producto 2026'!K33</f>
        <v>23524800</v>
      </c>
      <c r="L9" s="26" t="n">
        <f aca="false">'Ventas por Producto 2026'!L33</f>
        <v>22443200</v>
      </c>
      <c r="M9" s="26" t="n">
        <f aca="false">'Ventas por Producto 2026'!M33</f>
        <v>11086400</v>
      </c>
      <c r="N9" s="20" t="n">
        <f aca="false">SUM(B9:M9)</f>
        <v>229028800</v>
      </c>
    </row>
    <row r="10" customFormat="false" ht="15" hidden="false" customHeight="false" outlineLevel="0" collapsed="false">
      <c r="A10" s="29" t="s">
        <v>52</v>
      </c>
      <c r="B10" s="23" t="n">
        <f aca="false">SUM(B4:B9)</f>
        <v>70683500</v>
      </c>
      <c r="C10" s="23" t="n">
        <f aca="false">SUM(C4:C9)</f>
        <v>112454600</v>
      </c>
      <c r="D10" s="23" t="n">
        <f aca="false">SUM(D4:D9)</f>
        <v>100940000</v>
      </c>
      <c r="E10" s="23" t="n">
        <f aca="false">SUM(E4:E9)</f>
        <v>120508400</v>
      </c>
      <c r="F10" s="23" t="n">
        <f aca="false">SUM(F4:F9)</f>
        <v>124516100</v>
      </c>
      <c r="G10" s="23" t="n">
        <f aca="false">SUM(G4:G9)</f>
        <v>79491600</v>
      </c>
      <c r="H10" s="23" t="n">
        <f aca="false">SUM(H4:H9)</f>
        <v>58633900</v>
      </c>
      <c r="I10" s="23" t="n">
        <f aca="false">SUM(I4:I9)</f>
        <v>122906300</v>
      </c>
      <c r="J10" s="23" t="n">
        <f aca="false">SUM(J4:J9)</f>
        <v>120508400</v>
      </c>
      <c r="K10" s="23" t="n">
        <f aca="false">SUM(K4:K9)</f>
        <v>124516100</v>
      </c>
      <c r="L10" s="23" t="n">
        <f aca="false">SUM(L4:L9)</f>
        <v>118876700</v>
      </c>
      <c r="M10" s="23" t="n">
        <f aca="false">SUM(M4:M9)</f>
        <v>58599000</v>
      </c>
      <c r="N10" s="23" t="n">
        <f aca="false">SUM(B10:M10)</f>
        <v>1212634600</v>
      </c>
    </row>
    <row r="11" customFormat="false" ht="15" hidden="false" customHeight="false" outlineLevel="0" collapsed="false">
      <c r="A11" s="25" t="s">
        <v>53</v>
      </c>
      <c r="B11" s="30" t="n">
        <f aca="false">ROUND(B10*'Supuestos y Notas'!$B$4,0)</f>
        <v>212051</v>
      </c>
      <c r="C11" s="30" t="n">
        <f aca="false">ROUND(C10*'Supuestos y Notas'!$B$4,0)</f>
        <v>337364</v>
      </c>
      <c r="D11" s="30" t="n">
        <f aca="false">ROUND(D10*'Supuestos y Notas'!$B$4,0)</f>
        <v>302820</v>
      </c>
      <c r="E11" s="30" t="n">
        <f aca="false">ROUND(E10*'Supuestos y Notas'!$B$4,0)</f>
        <v>361525</v>
      </c>
      <c r="F11" s="30" t="n">
        <f aca="false">ROUND(F10*'Supuestos y Notas'!$B$4,0)</f>
        <v>373548</v>
      </c>
      <c r="G11" s="30" t="n">
        <f aca="false">ROUND(G10*'Supuestos y Notas'!$B$4,0)</f>
        <v>238475</v>
      </c>
      <c r="H11" s="30" t="n">
        <f aca="false">ROUND(H10*'Supuestos y Notas'!$B$4,0)</f>
        <v>175902</v>
      </c>
      <c r="I11" s="30" t="n">
        <f aca="false">ROUND(I10*'Supuestos y Notas'!$B$4,0)</f>
        <v>368719</v>
      </c>
      <c r="J11" s="30" t="n">
        <f aca="false">ROUND(J10*'Supuestos y Notas'!$B$4,0)</f>
        <v>361525</v>
      </c>
      <c r="K11" s="30" t="n">
        <f aca="false">ROUND(K10*'Supuestos y Notas'!$B$4,0)</f>
        <v>373548</v>
      </c>
      <c r="L11" s="30" t="n">
        <f aca="false">ROUND(L10*'Supuestos y Notas'!$B$4,0)</f>
        <v>356630</v>
      </c>
      <c r="M11" s="30" t="n">
        <f aca="false">ROUND(M10*'Supuestos y Notas'!$B$4,0)</f>
        <v>175797</v>
      </c>
      <c r="N11" s="20" t="n">
        <f aca="false">SUM(B11:M11)</f>
        <v>3637904</v>
      </c>
    </row>
    <row r="12" customFormat="false" ht="15" hidden="false" customHeight="false" outlineLevel="0" collapsed="false">
      <c r="A12" s="29" t="s">
        <v>54</v>
      </c>
      <c r="B12" s="23" t="n">
        <f aca="false">B10-B11</f>
        <v>70471449</v>
      </c>
      <c r="C12" s="23" t="n">
        <f aca="false">C10-C11</f>
        <v>112117236</v>
      </c>
      <c r="D12" s="23" t="n">
        <f aca="false">D10-D11</f>
        <v>100637180</v>
      </c>
      <c r="E12" s="23" t="n">
        <f aca="false">E10-E11</f>
        <v>120146875</v>
      </c>
      <c r="F12" s="23" t="n">
        <f aca="false">F10-F11</f>
        <v>124142552</v>
      </c>
      <c r="G12" s="23" t="n">
        <f aca="false">G10-G11</f>
        <v>79253125</v>
      </c>
      <c r="H12" s="23" t="n">
        <f aca="false">H10-H11</f>
        <v>58457998</v>
      </c>
      <c r="I12" s="23" t="n">
        <f aca="false">I10-I11</f>
        <v>122537581</v>
      </c>
      <c r="J12" s="23" t="n">
        <f aca="false">J10-J11</f>
        <v>120146875</v>
      </c>
      <c r="K12" s="23" t="n">
        <f aca="false">K10-K11</f>
        <v>124142552</v>
      </c>
      <c r="L12" s="23" t="n">
        <f aca="false">L10-L11</f>
        <v>118520070</v>
      </c>
      <c r="M12" s="23" t="n">
        <f aca="false">M10-M11</f>
        <v>58423203</v>
      </c>
      <c r="N12" s="23" t="n">
        <f aca="false">SUM(B12:M12)</f>
        <v>1208996696</v>
      </c>
    </row>
    <row r="13" customFormat="false" ht="15" hidden="false" customHeight="false" outlineLevel="0" collapsed="false">
      <c r="A13" s="27" t="s">
        <v>55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5" hidden="false" customHeight="false" outlineLevel="0" collapsed="false">
      <c r="A14" s="25" t="s">
        <v>56</v>
      </c>
      <c r="B14" s="26" t="n">
        <f aca="false">'Ventas por Producto 2026'!B43</f>
        <v>39137269</v>
      </c>
      <c r="C14" s="26" t="n">
        <f aca="false">'Ventas por Producto 2026'!C43</f>
        <v>62265818</v>
      </c>
      <c r="D14" s="26" t="n">
        <f aca="false">'Ventas por Producto 2026'!D43</f>
        <v>55890214</v>
      </c>
      <c r="E14" s="26" t="n">
        <f aca="false">'Ventas por Producto 2026'!E43</f>
        <v>66725186</v>
      </c>
      <c r="F14" s="26" t="n">
        <f aca="false">'Ventas por Producto 2026'!F43</f>
        <v>68944239</v>
      </c>
      <c r="G14" s="26" t="n">
        <f aca="false">'Ventas por Producto 2026'!G43</f>
        <v>44014291</v>
      </c>
      <c r="H14" s="26" t="n">
        <f aca="false">'Ventas por Producto 2026'!H43</f>
        <v>32465437</v>
      </c>
      <c r="I14" s="26" t="n">
        <f aca="false">'Ventas por Producto 2026'!I43</f>
        <v>68052897</v>
      </c>
      <c r="J14" s="26" t="n">
        <f aca="false">'Ventas por Producto 2026'!J43</f>
        <v>66725186</v>
      </c>
      <c r="K14" s="26" t="n">
        <f aca="false">'Ventas por Producto 2026'!K43</f>
        <v>68944239</v>
      </c>
      <c r="L14" s="26" t="n">
        <f aca="false">'Ventas por Producto 2026'!L43</f>
        <v>65821718</v>
      </c>
      <c r="M14" s="26" t="n">
        <f aca="false">'Ventas por Producto 2026'!M43</f>
        <v>32446113</v>
      </c>
      <c r="N14" s="20" t="n">
        <f aca="false">SUM(B14:M14)</f>
        <v>671432607</v>
      </c>
    </row>
    <row r="15" customFormat="false" ht="15" hidden="false" customHeight="false" outlineLevel="0" collapsed="false">
      <c r="A15" s="25" t="s">
        <v>57</v>
      </c>
      <c r="B15" s="30" t="n">
        <f aca="false">ROUND('Supuestos y Notas'!$B$11/12,0)</f>
        <v>15600000</v>
      </c>
      <c r="C15" s="30" t="n">
        <f aca="false">ROUND('Supuestos y Notas'!$B$11/12,0)</f>
        <v>15600000</v>
      </c>
      <c r="D15" s="30" t="n">
        <f aca="false">ROUND('Supuestos y Notas'!$B$11/12,0)</f>
        <v>15600000</v>
      </c>
      <c r="E15" s="30" t="n">
        <f aca="false">ROUND('Supuestos y Notas'!$B$11/12,0)</f>
        <v>15600000</v>
      </c>
      <c r="F15" s="30" t="n">
        <f aca="false">ROUND('Supuestos y Notas'!$B$11/12,0)</f>
        <v>15600000</v>
      </c>
      <c r="G15" s="30" t="n">
        <f aca="false">ROUND('Supuestos y Notas'!$B$11/12,0)</f>
        <v>15600000</v>
      </c>
      <c r="H15" s="30" t="n">
        <f aca="false">ROUND('Supuestos y Notas'!$B$11/12,0)</f>
        <v>15600000</v>
      </c>
      <c r="I15" s="30" t="n">
        <f aca="false">ROUND('Supuestos y Notas'!$B$11/12,0)</f>
        <v>15600000</v>
      </c>
      <c r="J15" s="30" t="n">
        <f aca="false">ROUND('Supuestos y Notas'!$B$11/12,0)</f>
        <v>15600000</v>
      </c>
      <c r="K15" s="30" t="n">
        <f aca="false">ROUND('Supuestos y Notas'!$B$11/12,0)</f>
        <v>15600000</v>
      </c>
      <c r="L15" s="30" t="n">
        <f aca="false">ROUND('Supuestos y Notas'!$B$11/12,0)</f>
        <v>15600000</v>
      </c>
      <c r="M15" s="30" t="n">
        <f aca="false">'Supuestos y Notas'!$B$11-SUM(B15:L15)</f>
        <v>15600000</v>
      </c>
      <c r="N15" s="20" t="n">
        <f aca="false">SUM(B15:M15)</f>
        <v>187200000</v>
      </c>
    </row>
    <row r="16" customFormat="false" ht="15" hidden="false" customHeight="false" outlineLevel="0" collapsed="false">
      <c r="A16" s="25" t="s">
        <v>58</v>
      </c>
      <c r="B16" s="30" t="n">
        <f aca="false">B2*'Supuestos y Notas'!$B$9</f>
        <v>2633000</v>
      </c>
      <c r="C16" s="30" t="n">
        <f aca="false">C2*'Supuestos y Notas'!$B$9</f>
        <v>4189000</v>
      </c>
      <c r="D16" s="30" t="n">
        <f aca="false">D2*'Supuestos y Notas'!$B$9</f>
        <v>3760000</v>
      </c>
      <c r="E16" s="30" t="n">
        <f aca="false">E2*'Supuestos y Notas'!$B$9</f>
        <v>4489000</v>
      </c>
      <c r="F16" s="30" t="n">
        <f aca="false">F2*'Supuestos y Notas'!$B$9</f>
        <v>4638000</v>
      </c>
      <c r="G16" s="30" t="n">
        <f aca="false">G2*'Supuestos y Notas'!$B$9</f>
        <v>2961000</v>
      </c>
      <c r="H16" s="30" t="n">
        <f aca="false">H2*'Supuestos y Notas'!$B$9</f>
        <v>2184000</v>
      </c>
      <c r="I16" s="30" t="n">
        <f aca="false">I2*'Supuestos y Notas'!$B$9</f>
        <v>4578000</v>
      </c>
      <c r="J16" s="30" t="n">
        <f aca="false">J2*'Supuestos y Notas'!$B$9</f>
        <v>4489000</v>
      </c>
      <c r="K16" s="30" t="n">
        <f aca="false">K2*'Supuestos y Notas'!$B$9</f>
        <v>4638000</v>
      </c>
      <c r="L16" s="30" t="n">
        <f aca="false">L2*'Supuestos y Notas'!$B$9</f>
        <v>4428000</v>
      </c>
      <c r="M16" s="30" t="n">
        <f aca="false">M2*'Supuestos y Notas'!$B$9</f>
        <v>2183000</v>
      </c>
      <c r="N16" s="20" t="n">
        <f aca="false">SUM(B16:M16)</f>
        <v>45170000</v>
      </c>
    </row>
    <row r="17" customFormat="false" ht="15" hidden="false" customHeight="false" outlineLevel="0" collapsed="false">
      <c r="A17" s="29" t="s">
        <v>59</v>
      </c>
      <c r="B17" s="23" t="n">
        <f aca="false">SUM(B14:B16)</f>
        <v>57370269</v>
      </c>
      <c r="C17" s="23" t="n">
        <f aca="false">SUM(C14:C16)</f>
        <v>82054818</v>
      </c>
      <c r="D17" s="23" t="n">
        <f aca="false">SUM(D14:D16)</f>
        <v>75250214</v>
      </c>
      <c r="E17" s="23" t="n">
        <f aca="false">SUM(E14:E16)</f>
        <v>86814186</v>
      </c>
      <c r="F17" s="23" t="n">
        <f aca="false">SUM(F14:F16)</f>
        <v>89182239</v>
      </c>
      <c r="G17" s="23" t="n">
        <f aca="false">SUM(G14:G16)</f>
        <v>62575291</v>
      </c>
      <c r="H17" s="23" t="n">
        <f aca="false">SUM(H14:H16)</f>
        <v>50249437</v>
      </c>
      <c r="I17" s="23" t="n">
        <f aca="false">SUM(I14:I16)</f>
        <v>88230897</v>
      </c>
      <c r="J17" s="23" t="n">
        <f aca="false">SUM(J14:J16)</f>
        <v>86814186</v>
      </c>
      <c r="K17" s="23" t="n">
        <f aca="false">SUM(K14:K16)</f>
        <v>89182239</v>
      </c>
      <c r="L17" s="23" t="n">
        <f aca="false">SUM(L14:L16)</f>
        <v>85849718</v>
      </c>
      <c r="M17" s="23" t="n">
        <f aca="false">SUM(M14:M16)</f>
        <v>50229113</v>
      </c>
      <c r="N17" s="23" t="n">
        <f aca="false">SUM(B17:M17)</f>
        <v>903802607</v>
      </c>
    </row>
    <row r="18" customFormat="false" ht="15" hidden="false" customHeight="false" outlineLevel="0" collapsed="false">
      <c r="A18" s="29" t="s">
        <v>60</v>
      </c>
      <c r="B18" s="23" t="n">
        <f aca="false">B12-B17</f>
        <v>13101180</v>
      </c>
      <c r="C18" s="23" t="n">
        <f aca="false">C12-C17</f>
        <v>30062418</v>
      </c>
      <c r="D18" s="23" t="n">
        <f aca="false">D12-D17</f>
        <v>25386966</v>
      </c>
      <c r="E18" s="23" t="n">
        <f aca="false">E12-E17</f>
        <v>33332689</v>
      </c>
      <c r="F18" s="23" t="n">
        <f aca="false">F12-F17</f>
        <v>34960313</v>
      </c>
      <c r="G18" s="23" t="n">
        <f aca="false">G12-G17</f>
        <v>16677834</v>
      </c>
      <c r="H18" s="23" t="n">
        <f aca="false">H12-H17</f>
        <v>8208561</v>
      </c>
      <c r="I18" s="23" t="n">
        <f aca="false">I12-I17</f>
        <v>34306684</v>
      </c>
      <c r="J18" s="23" t="n">
        <f aca="false">J12-J17</f>
        <v>33332689</v>
      </c>
      <c r="K18" s="23" t="n">
        <f aca="false">K12-K17</f>
        <v>34960313</v>
      </c>
      <c r="L18" s="23" t="n">
        <f aca="false">L12-L17</f>
        <v>32670352</v>
      </c>
      <c r="M18" s="23" t="n">
        <f aca="false">M12-M17</f>
        <v>8194090</v>
      </c>
      <c r="N18" s="23" t="n">
        <f aca="false">SUM(B18:M18)</f>
        <v>305194089</v>
      </c>
    </row>
    <row r="19" customFormat="false" ht="15" hidden="false" customHeight="false" outlineLevel="0" collapsed="false">
      <c r="A19" s="27" t="s">
        <v>61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customFormat="false" ht="15" hidden="false" customHeight="false" outlineLevel="0" collapsed="false">
      <c r="A20" s="25" t="s">
        <v>62</v>
      </c>
      <c r="B20" s="30" t="n">
        <f aca="false">ROUND('Supuestos y Notas'!$B$12/12,0)</f>
        <v>3500000</v>
      </c>
      <c r="C20" s="30" t="n">
        <f aca="false">ROUND('Supuestos y Notas'!$B$12/12,0)</f>
        <v>3500000</v>
      </c>
      <c r="D20" s="30" t="n">
        <f aca="false">ROUND('Supuestos y Notas'!$B$12/12,0)</f>
        <v>3500000</v>
      </c>
      <c r="E20" s="30" t="n">
        <f aca="false">ROUND('Supuestos y Notas'!$B$12/12,0)</f>
        <v>3500000</v>
      </c>
      <c r="F20" s="30" t="n">
        <f aca="false">ROUND('Supuestos y Notas'!$B$12/12,0)</f>
        <v>3500000</v>
      </c>
      <c r="G20" s="30" t="n">
        <f aca="false">ROUND('Supuestos y Notas'!$B$12/12,0)</f>
        <v>3500000</v>
      </c>
      <c r="H20" s="30" t="n">
        <f aca="false">ROUND('Supuestos y Notas'!$B$12/12,0)</f>
        <v>3500000</v>
      </c>
      <c r="I20" s="30" t="n">
        <f aca="false">ROUND('Supuestos y Notas'!$B$12/12,0)</f>
        <v>3500000</v>
      </c>
      <c r="J20" s="30" t="n">
        <f aca="false">ROUND('Supuestos y Notas'!$B$12/12,0)</f>
        <v>3500000</v>
      </c>
      <c r="K20" s="30" t="n">
        <f aca="false">ROUND('Supuestos y Notas'!$B$12/12,0)</f>
        <v>3500000</v>
      </c>
      <c r="L20" s="30" t="n">
        <f aca="false">ROUND('Supuestos y Notas'!$B$12/12,0)</f>
        <v>3500000</v>
      </c>
      <c r="M20" s="30" t="n">
        <f aca="false">'Supuestos y Notas'!$B$12-SUM(B20:L20)</f>
        <v>3500000</v>
      </c>
      <c r="N20" s="20" t="n">
        <f aca="false">SUM(B20:M20)</f>
        <v>42000000</v>
      </c>
    </row>
    <row r="21" customFormat="false" ht="15" hidden="false" customHeight="false" outlineLevel="0" collapsed="false">
      <c r="A21" s="25" t="s">
        <v>63</v>
      </c>
      <c r="B21" s="30" t="n">
        <f aca="false">ROUND('Supuestos y Notas'!$B$13/12,0)</f>
        <v>3500000</v>
      </c>
      <c r="C21" s="30" t="n">
        <f aca="false">ROUND('Supuestos y Notas'!$B$13/12,0)</f>
        <v>3500000</v>
      </c>
      <c r="D21" s="30" t="n">
        <f aca="false">ROUND('Supuestos y Notas'!$B$13/12,0)</f>
        <v>3500000</v>
      </c>
      <c r="E21" s="30" t="n">
        <f aca="false">ROUND('Supuestos y Notas'!$B$13/12,0)</f>
        <v>3500000</v>
      </c>
      <c r="F21" s="30" t="n">
        <f aca="false">ROUND('Supuestos y Notas'!$B$13/12,0)</f>
        <v>3500000</v>
      </c>
      <c r="G21" s="30" t="n">
        <f aca="false">ROUND('Supuestos y Notas'!$B$13/12,0)</f>
        <v>3500000</v>
      </c>
      <c r="H21" s="30" t="n">
        <f aca="false">ROUND('Supuestos y Notas'!$B$13/12,0)</f>
        <v>3500000</v>
      </c>
      <c r="I21" s="30" t="n">
        <f aca="false">ROUND('Supuestos y Notas'!$B$13/12,0)</f>
        <v>3500000</v>
      </c>
      <c r="J21" s="30" t="n">
        <f aca="false">ROUND('Supuestos y Notas'!$B$13/12,0)</f>
        <v>3500000</v>
      </c>
      <c r="K21" s="30" t="n">
        <f aca="false">ROUND('Supuestos y Notas'!$B$13/12,0)</f>
        <v>3500000</v>
      </c>
      <c r="L21" s="30" t="n">
        <f aca="false">ROUND('Supuestos y Notas'!$B$13/12,0)</f>
        <v>3500000</v>
      </c>
      <c r="M21" s="30" t="n">
        <f aca="false">'Supuestos y Notas'!$B$13-SUM(B21:L21)</f>
        <v>3500000</v>
      </c>
      <c r="N21" s="20" t="n">
        <f aca="false">SUM(B21:M21)</f>
        <v>42000000</v>
      </c>
    </row>
    <row r="22" customFormat="false" ht="15" hidden="false" customHeight="false" outlineLevel="0" collapsed="false">
      <c r="A22" s="25" t="s">
        <v>64</v>
      </c>
      <c r="B22" s="30" t="n">
        <f aca="false">ROUND('Supuestos y Notas'!$B$14/12,0)</f>
        <v>4000000</v>
      </c>
      <c r="C22" s="30" t="n">
        <f aca="false">ROUND('Supuestos y Notas'!$B$14/12,0)</f>
        <v>4000000</v>
      </c>
      <c r="D22" s="30" t="n">
        <f aca="false">ROUND('Supuestos y Notas'!$B$14/12,0)</f>
        <v>4000000</v>
      </c>
      <c r="E22" s="30" t="n">
        <f aca="false">ROUND('Supuestos y Notas'!$B$14/12,0)</f>
        <v>4000000</v>
      </c>
      <c r="F22" s="30" t="n">
        <f aca="false">ROUND('Supuestos y Notas'!$B$14/12,0)</f>
        <v>4000000</v>
      </c>
      <c r="G22" s="30" t="n">
        <f aca="false">ROUND('Supuestos y Notas'!$B$14/12,0)</f>
        <v>4000000</v>
      </c>
      <c r="H22" s="30" t="n">
        <f aca="false">ROUND('Supuestos y Notas'!$B$14/12,0)</f>
        <v>4000000</v>
      </c>
      <c r="I22" s="30" t="n">
        <f aca="false">ROUND('Supuestos y Notas'!$B$14/12,0)</f>
        <v>4000000</v>
      </c>
      <c r="J22" s="30" t="n">
        <f aca="false">ROUND('Supuestos y Notas'!$B$14/12,0)</f>
        <v>4000000</v>
      </c>
      <c r="K22" s="30" t="n">
        <f aca="false">ROUND('Supuestos y Notas'!$B$14/12,0)</f>
        <v>4000000</v>
      </c>
      <c r="L22" s="30" t="n">
        <f aca="false">ROUND('Supuestos y Notas'!$B$14/12,0)</f>
        <v>4000000</v>
      </c>
      <c r="M22" s="30" t="n">
        <f aca="false">'Supuestos y Notas'!$B$14-SUM(B22:L22)</f>
        <v>4000000</v>
      </c>
      <c r="N22" s="20" t="n">
        <f aca="false">SUM(B22:M22)</f>
        <v>48000000</v>
      </c>
    </row>
    <row r="23" customFormat="false" ht="15" hidden="false" customHeight="false" outlineLevel="0" collapsed="false">
      <c r="A23" s="25" t="s">
        <v>65</v>
      </c>
      <c r="B23" s="30" t="n">
        <f aca="false">ROUND('Supuestos y Notas'!$B$15/12,0)</f>
        <v>500000</v>
      </c>
      <c r="C23" s="30" t="n">
        <f aca="false">ROUND('Supuestos y Notas'!$B$15/12,0)</f>
        <v>500000</v>
      </c>
      <c r="D23" s="30" t="n">
        <f aca="false">ROUND('Supuestos y Notas'!$B$15/12,0)</f>
        <v>500000</v>
      </c>
      <c r="E23" s="30" t="n">
        <f aca="false">ROUND('Supuestos y Notas'!$B$15/12,0)</f>
        <v>500000</v>
      </c>
      <c r="F23" s="30" t="n">
        <f aca="false">ROUND('Supuestos y Notas'!$B$15/12,0)</f>
        <v>500000</v>
      </c>
      <c r="G23" s="30" t="n">
        <f aca="false">ROUND('Supuestos y Notas'!$B$15/12,0)</f>
        <v>500000</v>
      </c>
      <c r="H23" s="30" t="n">
        <f aca="false">ROUND('Supuestos y Notas'!$B$15/12,0)</f>
        <v>500000</v>
      </c>
      <c r="I23" s="30" t="n">
        <f aca="false">ROUND('Supuestos y Notas'!$B$15/12,0)</f>
        <v>500000</v>
      </c>
      <c r="J23" s="30" t="n">
        <f aca="false">ROUND('Supuestos y Notas'!$B$15/12,0)</f>
        <v>500000</v>
      </c>
      <c r="K23" s="30" t="n">
        <f aca="false">ROUND('Supuestos y Notas'!$B$15/12,0)</f>
        <v>500000</v>
      </c>
      <c r="L23" s="30" t="n">
        <f aca="false">ROUND('Supuestos y Notas'!$B$15/12,0)</f>
        <v>500000</v>
      </c>
      <c r="M23" s="30" t="n">
        <f aca="false">'Supuestos y Notas'!$B$15-SUM(B23:L23)</f>
        <v>500000</v>
      </c>
      <c r="N23" s="20" t="n">
        <f aca="false">SUM(B23:M23)</f>
        <v>6000000</v>
      </c>
    </row>
    <row r="24" customFormat="false" ht="15" hidden="false" customHeight="false" outlineLevel="0" collapsed="false">
      <c r="A24" s="25" t="s">
        <v>66</v>
      </c>
      <c r="B24" s="30" t="n">
        <f aca="false">ROUND('Supuestos y Notas'!$B$16/12,0)</f>
        <v>380000</v>
      </c>
      <c r="C24" s="30" t="n">
        <f aca="false">ROUND('Supuestos y Notas'!$B$16/12,0)</f>
        <v>380000</v>
      </c>
      <c r="D24" s="30" t="n">
        <f aca="false">ROUND('Supuestos y Notas'!$B$16/12,0)</f>
        <v>380000</v>
      </c>
      <c r="E24" s="30" t="n">
        <f aca="false">ROUND('Supuestos y Notas'!$B$16/12,0)</f>
        <v>380000</v>
      </c>
      <c r="F24" s="30" t="n">
        <f aca="false">ROUND('Supuestos y Notas'!$B$16/12,0)</f>
        <v>380000</v>
      </c>
      <c r="G24" s="30" t="n">
        <f aca="false">ROUND('Supuestos y Notas'!$B$16/12,0)</f>
        <v>380000</v>
      </c>
      <c r="H24" s="30" t="n">
        <f aca="false">ROUND('Supuestos y Notas'!$B$16/12,0)</f>
        <v>380000</v>
      </c>
      <c r="I24" s="30" t="n">
        <f aca="false">ROUND('Supuestos y Notas'!$B$16/12,0)</f>
        <v>380000</v>
      </c>
      <c r="J24" s="30" t="n">
        <f aca="false">ROUND('Supuestos y Notas'!$B$16/12,0)</f>
        <v>380000</v>
      </c>
      <c r="K24" s="30" t="n">
        <f aca="false">ROUND('Supuestos y Notas'!$B$16/12,0)</f>
        <v>380000</v>
      </c>
      <c r="L24" s="30" t="n">
        <f aca="false">ROUND('Supuestos y Notas'!$B$16/12,0)</f>
        <v>380000</v>
      </c>
      <c r="M24" s="30" t="n">
        <f aca="false">'Supuestos y Notas'!$B$16-SUM(B24:L24)</f>
        <v>380000</v>
      </c>
      <c r="N24" s="20" t="n">
        <f aca="false">SUM(B24:M24)</f>
        <v>4560000</v>
      </c>
    </row>
    <row r="25" customFormat="false" ht="15" hidden="false" customHeight="false" outlineLevel="0" collapsed="false">
      <c r="A25" s="25" t="s">
        <v>67</v>
      </c>
      <c r="B25" s="30" t="n">
        <f aca="false">ROUND('Supuestos y Notas'!$B$17/12,0)</f>
        <v>1416667</v>
      </c>
      <c r="C25" s="30" t="n">
        <f aca="false">ROUND('Supuestos y Notas'!$B$17/12,0)</f>
        <v>1416667</v>
      </c>
      <c r="D25" s="30" t="n">
        <f aca="false">ROUND('Supuestos y Notas'!$B$17/12,0)</f>
        <v>1416667</v>
      </c>
      <c r="E25" s="30" t="n">
        <f aca="false">ROUND('Supuestos y Notas'!$B$17/12,0)</f>
        <v>1416667</v>
      </c>
      <c r="F25" s="30" t="n">
        <f aca="false">ROUND('Supuestos y Notas'!$B$17/12,0)</f>
        <v>1416667</v>
      </c>
      <c r="G25" s="30" t="n">
        <f aca="false">ROUND('Supuestos y Notas'!$B$17/12,0)</f>
        <v>1416667</v>
      </c>
      <c r="H25" s="30" t="n">
        <f aca="false">ROUND('Supuestos y Notas'!$B$17/12,0)</f>
        <v>1416667</v>
      </c>
      <c r="I25" s="30" t="n">
        <f aca="false">ROUND('Supuestos y Notas'!$B$17/12,0)</f>
        <v>1416667</v>
      </c>
      <c r="J25" s="30" t="n">
        <f aca="false">ROUND('Supuestos y Notas'!$B$17/12,0)</f>
        <v>1416667</v>
      </c>
      <c r="K25" s="30" t="n">
        <f aca="false">ROUND('Supuestos y Notas'!$B$17/12,0)</f>
        <v>1416667</v>
      </c>
      <c r="L25" s="30" t="n">
        <f aca="false">ROUND('Supuestos y Notas'!$B$17/12,0)</f>
        <v>1416667</v>
      </c>
      <c r="M25" s="30" t="n">
        <f aca="false">'Supuestos y Notas'!$B$17-SUM(B25:L25)</f>
        <v>1416663</v>
      </c>
      <c r="N25" s="20" t="n">
        <f aca="false">SUM(B25:M25)</f>
        <v>17000000</v>
      </c>
    </row>
    <row r="26" customFormat="false" ht="15" hidden="false" customHeight="false" outlineLevel="0" collapsed="false">
      <c r="A26" s="29" t="s">
        <v>68</v>
      </c>
      <c r="B26" s="23" t="n">
        <f aca="false">SUM(B20:B25)</f>
        <v>13296667</v>
      </c>
      <c r="C26" s="23" t="n">
        <f aca="false">SUM(C20:C25)</f>
        <v>13296667</v>
      </c>
      <c r="D26" s="23" t="n">
        <f aca="false">SUM(D20:D25)</f>
        <v>13296667</v>
      </c>
      <c r="E26" s="23" t="n">
        <f aca="false">SUM(E20:E25)</f>
        <v>13296667</v>
      </c>
      <c r="F26" s="23" t="n">
        <f aca="false">SUM(F20:F25)</f>
        <v>13296667</v>
      </c>
      <c r="G26" s="23" t="n">
        <f aca="false">SUM(G20:G25)</f>
        <v>13296667</v>
      </c>
      <c r="H26" s="23" t="n">
        <f aca="false">SUM(H20:H25)</f>
        <v>13296667</v>
      </c>
      <c r="I26" s="23" t="n">
        <f aca="false">SUM(I20:I25)</f>
        <v>13296667</v>
      </c>
      <c r="J26" s="23" t="n">
        <f aca="false">SUM(J20:J25)</f>
        <v>13296667</v>
      </c>
      <c r="K26" s="23" t="n">
        <f aca="false">SUM(K20:K25)</f>
        <v>13296667</v>
      </c>
      <c r="L26" s="23" t="n">
        <f aca="false">SUM(L20:L25)</f>
        <v>13296667</v>
      </c>
      <c r="M26" s="23" t="n">
        <f aca="false">SUM(M20:M25)</f>
        <v>13296663</v>
      </c>
      <c r="N26" s="23" t="n">
        <f aca="false">SUM(B26:M26)</f>
        <v>159560000</v>
      </c>
    </row>
    <row r="27" customFormat="false" ht="15" hidden="false" customHeight="false" outlineLevel="0" collapsed="false">
      <c r="A27" s="27" t="s">
        <v>69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customFormat="false" ht="15" hidden="false" customHeight="false" outlineLevel="0" collapsed="false">
      <c r="A28" s="25" t="s">
        <v>70</v>
      </c>
      <c r="B28" s="30" t="n">
        <f aca="false">ROUND('Supuestos y Notas'!$B$18/12,0)</f>
        <v>3966667</v>
      </c>
      <c r="C28" s="30" t="n">
        <f aca="false">ROUND('Supuestos y Notas'!$B$18/12,0)</f>
        <v>3966667</v>
      </c>
      <c r="D28" s="30" t="n">
        <f aca="false">ROUND('Supuestos y Notas'!$B$18/12,0)</f>
        <v>3966667</v>
      </c>
      <c r="E28" s="30" t="n">
        <f aca="false">ROUND('Supuestos y Notas'!$B$18/12,0)</f>
        <v>3966667</v>
      </c>
      <c r="F28" s="30" t="n">
        <f aca="false">ROUND('Supuestos y Notas'!$B$18/12,0)</f>
        <v>3966667</v>
      </c>
      <c r="G28" s="30" t="n">
        <f aca="false">ROUND('Supuestos y Notas'!$B$18/12,0)</f>
        <v>3966667</v>
      </c>
      <c r="H28" s="30" t="n">
        <f aca="false">ROUND('Supuestos y Notas'!$B$18/12,0)</f>
        <v>3966667</v>
      </c>
      <c r="I28" s="30" t="n">
        <f aca="false">ROUND('Supuestos y Notas'!$B$18/12,0)</f>
        <v>3966667</v>
      </c>
      <c r="J28" s="30" t="n">
        <f aca="false">ROUND('Supuestos y Notas'!$B$18/12,0)</f>
        <v>3966667</v>
      </c>
      <c r="K28" s="30" t="n">
        <f aca="false">ROUND('Supuestos y Notas'!$B$18/12,0)</f>
        <v>3966667</v>
      </c>
      <c r="L28" s="30" t="n">
        <f aca="false">ROUND('Supuestos y Notas'!$B$18/12,0)</f>
        <v>3966667</v>
      </c>
      <c r="M28" s="30" t="n">
        <f aca="false">'Supuestos y Notas'!$B$18-SUM(B28:L28)</f>
        <v>3966663</v>
      </c>
      <c r="N28" s="20" t="n">
        <f aca="false">SUM(B28:M28)</f>
        <v>47600000</v>
      </c>
    </row>
    <row r="29" customFormat="false" ht="15" hidden="false" customHeight="false" outlineLevel="0" collapsed="false">
      <c r="A29" s="25" t="s">
        <v>71</v>
      </c>
      <c r="B29" s="30" t="n">
        <f aca="false">ROUND(B12*'Supuestos y Notas'!$B$5*'Supuestos y Notas'!$B$6,0)</f>
        <v>3382630</v>
      </c>
      <c r="C29" s="30" t="n">
        <f aca="false">ROUND(C12*'Supuestos y Notas'!$B$5*'Supuestos y Notas'!$B$6,0)</f>
        <v>5381627</v>
      </c>
      <c r="D29" s="30" t="n">
        <f aca="false">ROUND(D12*'Supuestos y Notas'!$B$5*'Supuestos y Notas'!$B$6,0)</f>
        <v>4830585</v>
      </c>
      <c r="E29" s="30" t="n">
        <f aca="false">ROUND(E12*'Supuestos y Notas'!$B$5*'Supuestos y Notas'!$B$6,0)</f>
        <v>5767050</v>
      </c>
      <c r="F29" s="30" t="n">
        <f aca="false">ROUND(F12*'Supuestos y Notas'!$B$5*'Supuestos y Notas'!$B$6,0)</f>
        <v>5958842</v>
      </c>
      <c r="G29" s="30" t="n">
        <f aca="false">ROUND(G12*'Supuestos y Notas'!$B$5*'Supuestos y Notas'!$B$6,0)</f>
        <v>3804150</v>
      </c>
      <c r="H29" s="30" t="n">
        <f aca="false">ROUND(H12*'Supuestos y Notas'!$B$5*'Supuestos y Notas'!$B$6,0)</f>
        <v>2805984</v>
      </c>
      <c r="I29" s="30" t="n">
        <f aca="false">ROUND(I12*'Supuestos y Notas'!$B$5*'Supuestos y Notas'!$B$6,0)</f>
        <v>5881804</v>
      </c>
      <c r="J29" s="30" t="n">
        <f aca="false">ROUND(J12*'Supuestos y Notas'!$B$5*'Supuestos y Notas'!$B$6,0)</f>
        <v>5767050</v>
      </c>
      <c r="K29" s="30" t="n">
        <f aca="false">ROUND(K12*'Supuestos y Notas'!$B$5*'Supuestos y Notas'!$B$6,0)</f>
        <v>5958842</v>
      </c>
      <c r="L29" s="30" t="n">
        <f aca="false">ROUND(L12*'Supuestos y Notas'!$B$5*'Supuestos y Notas'!$B$6,0)</f>
        <v>5688963</v>
      </c>
      <c r="M29" s="30" t="n">
        <f aca="false">ROUND(M12*'Supuestos y Notas'!$B$5*'Supuestos y Notas'!$B$6,0)</f>
        <v>2804314</v>
      </c>
      <c r="N29" s="20" t="n">
        <f aca="false">SUM(B29:M29)</f>
        <v>58031841</v>
      </c>
    </row>
    <row r="30" customFormat="false" ht="15" hidden="false" customHeight="false" outlineLevel="0" collapsed="false">
      <c r="A30" s="25" t="s">
        <v>72</v>
      </c>
      <c r="B30" s="30" t="n">
        <f aca="false">ROUND(B2*'Supuestos y Notas'!$B$7*'Supuestos y Notas'!$B$8,0)</f>
        <v>292263</v>
      </c>
      <c r="C30" s="30" t="n">
        <f aca="false">ROUND(C2*'Supuestos y Notas'!$B$7*'Supuestos y Notas'!$B$8,0)</f>
        <v>464979</v>
      </c>
      <c r="D30" s="30" t="n">
        <f aca="false">ROUND(D2*'Supuestos y Notas'!$B$7*'Supuestos y Notas'!$B$8,0)</f>
        <v>417360</v>
      </c>
      <c r="E30" s="30" t="n">
        <f aca="false">ROUND(E2*'Supuestos y Notas'!$B$7*'Supuestos y Notas'!$B$8,0)</f>
        <v>498279</v>
      </c>
      <c r="F30" s="30" t="n">
        <f aca="false">ROUND(F2*'Supuestos y Notas'!$B$7*'Supuestos y Notas'!$B$8,0)</f>
        <v>514818</v>
      </c>
      <c r="G30" s="30" t="n">
        <f aca="false">ROUND(G2*'Supuestos y Notas'!$B$7*'Supuestos y Notas'!$B$8,0)</f>
        <v>328671</v>
      </c>
      <c r="H30" s="30" t="n">
        <f aca="false">ROUND(H2*'Supuestos y Notas'!$B$7*'Supuestos y Notas'!$B$8,0)</f>
        <v>242424</v>
      </c>
      <c r="I30" s="30" t="n">
        <f aca="false">ROUND(I2*'Supuestos y Notas'!$B$7*'Supuestos y Notas'!$B$8,0)</f>
        <v>508158</v>
      </c>
      <c r="J30" s="30" t="n">
        <f aca="false">ROUND(J2*'Supuestos y Notas'!$B$7*'Supuestos y Notas'!$B$8,0)</f>
        <v>498279</v>
      </c>
      <c r="K30" s="30" t="n">
        <f aca="false">ROUND(K2*'Supuestos y Notas'!$B$7*'Supuestos y Notas'!$B$8,0)</f>
        <v>514818</v>
      </c>
      <c r="L30" s="30" t="n">
        <f aca="false">ROUND(L2*'Supuestos y Notas'!$B$7*'Supuestos y Notas'!$B$8,0)</f>
        <v>491508</v>
      </c>
      <c r="M30" s="30" t="n">
        <f aca="false">ROUND(M2*'Supuestos y Notas'!$B$7*'Supuestos y Notas'!$B$8,0)</f>
        <v>242313</v>
      </c>
      <c r="N30" s="20" t="n">
        <f aca="false">SUM(B30:M30)</f>
        <v>5013870</v>
      </c>
    </row>
    <row r="31" customFormat="false" ht="15" hidden="false" customHeight="false" outlineLevel="0" collapsed="false">
      <c r="A31" s="29" t="s">
        <v>73</v>
      </c>
      <c r="B31" s="23" t="n">
        <f aca="false">SUM(B28:B30)</f>
        <v>7641560</v>
      </c>
      <c r="C31" s="23" t="n">
        <f aca="false">SUM(C28:C30)</f>
        <v>9813273</v>
      </c>
      <c r="D31" s="23" t="n">
        <f aca="false">SUM(D28:D30)</f>
        <v>9214612</v>
      </c>
      <c r="E31" s="23" t="n">
        <f aca="false">SUM(E28:E30)</f>
        <v>10231996</v>
      </c>
      <c r="F31" s="23" t="n">
        <f aca="false">SUM(F28:F30)</f>
        <v>10440327</v>
      </c>
      <c r="G31" s="23" t="n">
        <f aca="false">SUM(G28:G30)</f>
        <v>8099488</v>
      </c>
      <c r="H31" s="23" t="n">
        <f aca="false">SUM(H28:H30)</f>
        <v>7015075</v>
      </c>
      <c r="I31" s="23" t="n">
        <f aca="false">SUM(I28:I30)</f>
        <v>10356629</v>
      </c>
      <c r="J31" s="23" t="n">
        <f aca="false">SUM(J28:J30)</f>
        <v>10231996</v>
      </c>
      <c r="K31" s="23" t="n">
        <f aca="false">SUM(K28:K30)</f>
        <v>10440327</v>
      </c>
      <c r="L31" s="23" t="n">
        <f aca="false">SUM(L28:L30)</f>
        <v>10147138</v>
      </c>
      <c r="M31" s="23" t="n">
        <f aca="false">SUM(M28:M30)</f>
        <v>7013290</v>
      </c>
      <c r="N31" s="23" t="n">
        <f aca="false">SUM(B31:M31)</f>
        <v>110645711</v>
      </c>
    </row>
    <row r="32" customFormat="false" ht="15" hidden="false" customHeight="false" outlineLevel="0" collapsed="false">
      <c r="A32" s="29" t="s">
        <v>74</v>
      </c>
      <c r="B32" s="23" t="n">
        <f aca="false">B18-B26-B31</f>
        <v>-7837047</v>
      </c>
      <c r="C32" s="23" t="n">
        <f aca="false">C18-C26-C31</f>
        <v>6952478</v>
      </c>
      <c r="D32" s="23" t="n">
        <f aca="false">D18-D26-D31</f>
        <v>2875687</v>
      </c>
      <c r="E32" s="23" t="n">
        <f aca="false">E18-E26-E31</f>
        <v>9804026</v>
      </c>
      <c r="F32" s="23" t="n">
        <f aca="false">F18-F26-F31</f>
        <v>11223319</v>
      </c>
      <c r="G32" s="23" t="n">
        <f aca="false">G18-G26-G31</f>
        <v>-4718321</v>
      </c>
      <c r="H32" s="23" t="n">
        <f aca="false">H18-H26-H31</f>
        <v>-12103181</v>
      </c>
      <c r="I32" s="23" t="n">
        <f aca="false">I18-I26-I31</f>
        <v>10653388</v>
      </c>
      <c r="J32" s="23" t="n">
        <f aca="false">J18-J26-J31</f>
        <v>9804026</v>
      </c>
      <c r="K32" s="23" t="n">
        <f aca="false">K18-K26-K31</f>
        <v>11223319</v>
      </c>
      <c r="L32" s="23" t="n">
        <f aca="false">L18-L26-L31</f>
        <v>9226547</v>
      </c>
      <c r="M32" s="23" t="n">
        <f aca="false">M18-M26-M31</f>
        <v>-12115863</v>
      </c>
      <c r="N32" s="23" t="n">
        <f aca="false">SUM(B32:M32)</f>
        <v>34988378</v>
      </c>
    </row>
    <row r="33" customFormat="false" ht="15" hidden="false" customHeight="false" outlineLevel="0" collapsed="false">
      <c r="A33" s="29" t="s">
        <v>75</v>
      </c>
      <c r="B33" s="23" t="n">
        <f aca="false">B32+B25</f>
        <v>-6420380</v>
      </c>
      <c r="C33" s="23" t="n">
        <f aca="false">C32+C25</f>
        <v>8369145</v>
      </c>
      <c r="D33" s="23" t="n">
        <f aca="false">D32+D25</f>
        <v>4292354</v>
      </c>
      <c r="E33" s="23" t="n">
        <f aca="false">E32+E25</f>
        <v>11220693</v>
      </c>
      <c r="F33" s="23" t="n">
        <f aca="false">F32+F25</f>
        <v>12639986</v>
      </c>
      <c r="G33" s="23" t="n">
        <f aca="false">G32+G25</f>
        <v>-3301654</v>
      </c>
      <c r="H33" s="23" t="n">
        <f aca="false">H32+H25</f>
        <v>-10686514</v>
      </c>
      <c r="I33" s="23" t="n">
        <f aca="false">I32+I25</f>
        <v>12070055</v>
      </c>
      <c r="J33" s="23" t="n">
        <f aca="false">J32+J25</f>
        <v>11220693</v>
      </c>
      <c r="K33" s="23" t="n">
        <f aca="false">K32+K25</f>
        <v>12639986</v>
      </c>
      <c r="L33" s="23" t="n">
        <f aca="false">L32+L25</f>
        <v>10643214</v>
      </c>
      <c r="M33" s="23" t="n">
        <f aca="false">M32+M25</f>
        <v>-10699200</v>
      </c>
      <c r="N33" s="23" t="n">
        <f aca="false">SUM(B33:M33)</f>
        <v>51988378</v>
      </c>
    </row>
    <row r="34" customFormat="false" ht="15" hidden="false" customHeight="false" outlineLevel="0" collapsed="false">
      <c r="A34" s="27" t="s">
        <v>76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customFormat="false" ht="15" hidden="false" customHeight="false" outlineLevel="0" collapsed="false">
      <c r="A35" s="25" t="s">
        <v>77</v>
      </c>
      <c r="B35" s="30" t="n">
        <f aca="false">ROUND((B17+B26-B25+B31)*'Supuestos y Notas'!$B$19,0)</f>
        <v>307567</v>
      </c>
      <c r="C35" s="30" t="n">
        <f aca="false">ROUND((C17+C26-C25+C31)*'Supuestos y Notas'!$B$19,0)</f>
        <v>414992</v>
      </c>
      <c r="D35" s="30" t="n">
        <f aca="false">ROUND((D17+D26-D25+D31)*'Supuestos y Notas'!$B$19,0)</f>
        <v>385379</v>
      </c>
      <c r="E35" s="30" t="n">
        <f aca="false">ROUND((E17+E26-E25+E31)*'Supuestos y Notas'!$B$19,0)</f>
        <v>435705</v>
      </c>
      <c r="F35" s="30" t="n">
        <f aca="false">ROUND((F17+F26-F25+F31)*'Supuestos y Notas'!$B$19,0)</f>
        <v>446010</v>
      </c>
      <c r="G35" s="30" t="n">
        <f aca="false">ROUND((G17+G26-G25+G31)*'Supuestos y Notas'!$B$19,0)</f>
        <v>330219</v>
      </c>
      <c r="H35" s="30" t="n">
        <f aca="false">ROUND((H17+H26-H25+H31)*'Supuestos y Notas'!$B$19,0)</f>
        <v>276578</v>
      </c>
      <c r="I35" s="30" t="n">
        <f aca="false">ROUND((I17+I26-I25+I31)*'Supuestos y Notas'!$B$19,0)</f>
        <v>441870</v>
      </c>
      <c r="J35" s="30" t="n">
        <f aca="false">ROUND((J17+J26-J25+J31)*'Supuestos y Notas'!$B$19,0)</f>
        <v>435705</v>
      </c>
      <c r="K35" s="30" t="n">
        <f aca="false">ROUND((K17+K26-K25+K31)*'Supuestos y Notas'!$B$19,0)</f>
        <v>446010</v>
      </c>
      <c r="L35" s="30" t="n">
        <f aca="false">ROUND((L17+L26-L25+L31)*'Supuestos y Notas'!$B$19,0)</f>
        <v>431507</v>
      </c>
      <c r="M35" s="30" t="n">
        <f aca="false">ROUND((M17+M26-M25+M31)*'Supuestos y Notas'!$B$19,0)</f>
        <v>276490</v>
      </c>
      <c r="N35" s="20" t="n">
        <f aca="false">SUM(B35:M35)</f>
        <v>4628032</v>
      </c>
    </row>
    <row r="36" customFormat="false" ht="15" hidden="false" customHeight="false" outlineLevel="0" collapsed="false">
      <c r="A36" s="29" t="s">
        <v>78</v>
      </c>
      <c r="B36" s="23" t="n">
        <f aca="false">B32-B35</f>
        <v>-8144614</v>
      </c>
      <c r="C36" s="23" t="n">
        <f aca="false">C32-C35</f>
        <v>6537486</v>
      </c>
      <c r="D36" s="23" t="n">
        <f aca="false">D32-D35</f>
        <v>2490308</v>
      </c>
      <c r="E36" s="23" t="n">
        <f aca="false">E32-E35</f>
        <v>9368321</v>
      </c>
      <c r="F36" s="23" t="n">
        <f aca="false">F32-F35</f>
        <v>10777309</v>
      </c>
      <c r="G36" s="23" t="n">
        <f aca="false">G32-G35</f>
        <v>-5048540</v>
      </c>
      <c r="H36" s="23" t="n">
        <f aca="false">H32-H35</f>
        <v>-12379759</v>
      </c>
      <c r="I36" s="23" t="n">
        <f aca="false">I32-I35</f>
        <v>10211518</v>
      </c>
      <c r="J36" s="23" t="n">
        <f aca="false">J32-J35</f>
        <v>9368321</v>
      </c>
      <c r="K36" s="23" t="n">
        <f aca="false">K32-K35</f>
        <v>10777309</v>
      </c>
      <c r="L36" s="23" t="n">
        <f aca="false">L32-L35</f>
        <v>8795040</v>
      </c>
      <c r="M36" s="23" t="n">
        <f aca="false">M32-M35</f>
        <v>-12392353</v>
      </c>
      <c r="N36" s="23" t="n">
        <f aca="false">SUM(B36:M36)</f>
        <v>30360346</v>
      </c>
    </row>
    <row r="37" customFormat="false" ht="15" hidden="false" customHeight="false" outlineLevel="0" collapsed="false">
      <c r="A37" s="25" t="s">
        <v>79</v>
      </c>
      <c r="B37" s="30" t="n">
        <f aca="false">ROUND($N$37/12,0)</f>
        <v>885510</v>
      </c>
      <c r="C37" s="30" t="n">
        <f aca="false">ROUND($N$37/12,0)</f>
        <v>885510</v>
      </c>
      <c r="D37" s="30" t="n">
        <f aca="false">ROUND($N$37/12,0)</f>
        <v>885510</v>
      </c>
      <c r="E37" s="30" t="n">
        <f aca="false">ROUND($N$37/12,0)</f>
        <v>885510</v>
      </c>
      <c r="F37" s="30" t="n">
        <f aca="false">ROUND($N$37/12,0)</f>
        <v>885510</v>
      </c>
      <c r="G37" s="30" t="n">
        <f aca="false">ROUND($N$37/12,0)</f>
        <v>885510</v>
      </c>
      <c r="H37" s="30" t="n">
        <f aca="false">ROUND($N$37/12,0)</f>
        <v>885510</v>
      </c>
      <c r="I37" s="30" t="n">
        <f aca="false">ROUND($N$37/12,0)</f>
        <v>885510</v>
      </c>
      <c r="J37" s="30" t="n">
        <f aca="false">ROUND($N$37/12,0)</f>
        <v>885510</v>
      </c>
      <c r="K37" s="30" t="n">
        <f aca="false">ROUND($N$37/12,0)</f>
        <v>885510</v>
      </c>
      <c r="L37" s="30" t="n">
        <f aca="false">ROUND($N$37/12,0)</f>
        <v>885510</v>
      </c>
      <c r="M37" s="30" t="n">
        <f aca="false">$N$37-SUM(B37:L37)</f>
        <v>885511</v>
      </c>
      <c r="N37" s="20" t="n">
        <f aca="false">ROUND(MAX(0,N36*'Supuestos y Notas'!$B$20),0)</f>
        <v>10626121</v>
      </c>
    </row>
    <row r="38" customFormat="false" ht="15" hidden="false" customHeight="false" outlineLevel="0" collapsed="false">
      <c r="A38" s="29" t="s">
        <v>80</v>
      </c>
      <c r="B38" s="23" t="n">
        <f aca="false">B36-B37</f>
        <v>-9030124</v>
      </c>
      <c r="C38" s="23" t="n">
        <f aca="false">C36-C37</f>
        <v>5651976</v>
      </c>
      <c r="D38" s="23" t="n">
        <f aca="false">D36-D37</f>
        <v>1604798</v>
      </c>
      <c r="E38" s="23" t="n">
        <f aca="false">E36-E37</f>
        <v>8482811</v>
      </c>
      <c r="F38" s="23" t="n">
        <f aca="false">F36-F37</f>
        <v>9891799</v>
      </c>
      <c r="G38" s="23" t="n">
        <f aca="false">G36-G37</f>
        <v>-5934050</v>
      </c>
      <c r="H38" s="23" t="n">
        <f aca="false">H36-H37</f>
        <v>-13265269</v>
      </c>
      <c r="I38" s="23" t="n">
        <f aca="false">I36-I37</f>
        <v>9326008</v>
      </c>
      <c r="J38" s="23" t="n">
        <f aca="false">J36-J37</f>
        <v>8482811</v>
      </c>
      <c r="K38" s="23" t="n">
        <f aca="false">K36-K37</f>
        <v>9891799</v>
      </c>
      <c r="L38" s="23" t="n">
        <f aca="false">L36-L37</f>
        <v>7909530</v>
      </c>
      <c r="M38" s="23" t="n">
        <f aca="false">M36-M37</f>
        <v>-13277864</v>
      </c>
      <c r="N38" s="23" t="n">
        <f aca="false">SUM(B38:M38)</f>
        <v>19734225</v>
      </c>
    </row>
    <row r="40" customFormat="false" ht="15" hidden="false" customHeight="false" outlineLevel="0" collapsed="false">
      <c r="A40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8" t="s">
        <v>42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30</v>
      </c>
      <c r="M1" s="19" t="s">
        <v>31</v>
      </c>
      <c r="N1" s="19" t="s">
        <v>43</v>
      </c>
    </row>
    <row r="2" customFormat="false" ht="15" hidden="false" customHeight="false" outlineLevel="0" collapsed="false">
      <c r="A2" s="27" t="s">
        <v>82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customFormat="false" ht="15" hidden="false" customHeight="false" outlineLevel="0" collapsed="false">
      <c r="A3" s="25" t="s">
        <v>83</v>
      </c>
      <c r="B3" s="26" t="n">
        <f aca="false">'Estado de Resultados 2026'!B38</f>
        <v>-9030124</v>
      </c>
      <c r="C3" s="26" t="n">
        <f aca="false">'Estado de Resultados 2026'!C38</f>
        <v>5651976</v>
      </c>
      <c r="D3" s="26" t="n">
        <f aca="false">'Estado de Resultados 2026'!D38</f>
        <v>1604798</v>
      </c>
      <c r="E3" s="26" t="n">
        <f aca="false">'Estado de Resultados 2026'!E38</f>
        <v>8482811</v>
      </c>
      <c r="F3" s="26" t="n">
        <f aca="false">'Estado de Resultados 2026'!F38</f>
        <v>9891799</v>
      </c>
      <c r="G3" s="26" t="n">
        <f aca="false">'Estado de Resultados 2026'!G38</f>
        <v>-5934050</v>
      </c>
      <c r="H3" s="26" t="n">
        <f aca="false">'Estado de Resultados 2026'!H38</f>
        <v>-13265269</v>
      </c>
      <c r="I3" s="26" t="n">
        <f aca="false">'Estado de Resultados 2026'!I38</f>
        <v>9326008</v>
      </c>
      <c r="J3" s="26" t="n">
        <f aca="false">'Estado de Resultados 2026'!J38</f>
        <v>8482811</v>
      </c>
      <c r="K3" s="26" t="n">
        <f aca="false">'Estado de Resultados 2026'!K38</f>
        <v>9891799</v>
      </c>
      <c r="L3" s="26" t="n">
        <f aca="false">'Estado de Resultados 2026'!L38</f>
        <v>7909530</v>
      </c>
      <c r="M3" s="26" t="n">
        <f aca="false">'Estado de Resultados 2026'!M38</f>
        <v>-13277864</v>
      </c>
      <c r="N3" s="20" t="n">
        <f aca="false">SUM(B3:M3)</f>
        <v>19734225</v>
      </c>
    </row>
    <row r="4" customFormat="false" ht="15" hidden="false" customHeight="false" outlineLevel="0" collapsed="false">
      <c r="A4" s="25" t="s">
        <v>84</v>
      </c>
      <c r="B4" s="26" t="n">
        <f aca="false">'Estado de Resultados 2026'!B25</f>
        <v>1416667</v>
      </c>
      <c r="C4" s="26" t="n">
        <f aca="false">'Estado de Resultados 2026'!C25</f>
        <v>1416667</v>
      </c>
      <c r="D4" s="26" t="n">
        <f aca="false">'Estado de Resultados 2026'!D25</f>
        <v>1416667</v>
      </c>
      <c r="E4" s="26" t="n">
        <f aca="false">'Estado de Resultados 2026'!E25</f>
        <v>1416667</v>
      </c>
      <c r="F4" s="26" t="n">
        <f aca="false">'Estado de Resultados 2026'!F25</f>
        <v>1416667</v>
      </c>
      <c r="G4" s="26" t="n">
        <f aca="false">'Estado de Resultados 2026'!G25</f>
        <v>1416667</v>
      </c>
      <c r="H4" s="26" t="n">
        <f aca="false">'Estado de Resultados 2026'!H25</f>
        <v>1416667</v>
      </c>
      <c r="I4" s="26" t="n">
        <f aca="false">'Estado de Resultados 2026'!I25</f>
        <v>1416667</v>
      </c>
      <c r="J4" s="26" t="n">
        <f aca="false">'Estado de Resultados 2026'!J25</f>
        <v>1416667</v>
      </c>
      <c r="K4" s="26" t="n">
        <f aca="false">'Estado de Resultados 2026'!K25</f>
        <v>1416667</v>
      </c>
      <c r="L4" s="26" t="n">
        <f aca="false">'Estado de Resultados 2026'!L25</f>
        <v>1416667</v>
      </c>
      <c r="M4" s="26" t="n">
        <f aca="false">'Estado de Resultados 2026'!M25</f>
        <v>1416663</v>
      </c>
      <c r="N4" s="20" t="n">
        <f aca="false">SUM(B4:M4)</f>
        <v>17000000</v>
      </c>
    </row>
    <row r="5" customFormat="false" ht="15" hidden="false" customHeight="false" outlineLevel="0" collapsed="false">
      <c r="A5" s="25" t="s">
        <v>85</v>
      </c>
      <c r="B5" s="26" t="n">
        <f aca="false">'Balance General 2026'!B11</f>
        <v>2578500</v>
      </c>
      <c r="C5" s="26" t="n">
        <f aca="false">'Balance General 2026'!C11-'Balance General 2026'!B11</f>
        <v>0</v>
      </c>
      <c r="D5" s="26" t="n">
        <f aca="false">'Balance General 2026'!D11-'Balance General 2026'!C11</f>
        <v>0</v>
      </c>
      <c r="E5" s="26" t="n">
        <f aca="false">'Balance General 2026'!E11-'Balance General 2026'!D11</f>
        <v>0</v>
      </c>
      <c r="F5" s="26" t="n">
        <f aca="false">'Balance General 2026'!F11-'Balance General 2026'!E11</f>
        <v>0</v>
      </c>
      <c r="G5" s="26" t="n">
        <f aca="false">'Balance General 2026'!G11-'Balance General 2026'!F11</f>
        <v>0</v>
      </c>
      <c r="H5" s="26" t="n">
        <f aca="false">'Balance General 2026'!H11-'Balance General 2026'!G11</f>
        <v>0</v>
      </c>
      <c r="I5" s="26" t="n">
        <f aca="false">'Balance General 2026'!I11-'Balance General 2026'!H11</f>
        <v>0</v>
      </c>
      <c r="J5" s="26" t="n">
        <f aca="false">'Balance General 2026'!J11-'Balance General 2026'!I11</f>
        <v>0</v>
      </c>
      <c r="K5" s="26" t="n">
        <f aca="false">'Balance General 2026'!K11-'Balance General 2026'!J11</f>
        <v>0</v>
      </c>
      <c r="L5" s="26" t="n">
        <f aca="false">'Balance General 2026'!L11-'Balance General 2026'!K11</f>
        <v>0</v>
      </c>
      <c r="M5" s="26" t="n">
        <f aca="false">'Balance General 2026'!M11-'Balance General 2026'!L11</f>
        <v>0</v>
      </c>
      <c r="N5" s="20" t="n">
        <f aca="false">SUM(B5:M5)</f>
        <v>2578500</v>
      </c>
    </row>
    <row r="6" customFormat="false" ht="15" hidden="false" customHeight="false" outlineLevel="0" collapsed="false">
      <c r="A6" s="25" t="s">
        <v>86</v>
      </c>
      <c r="B6" s="26" t="n">
        <f aca="false">'Balance General 2026'!B12</f>
        <v>3915500</v>
      </c>
      <c r="C6" s="26" t="n">
        <f aca="false">'Balance General 2026'!C12-'Balance General 2026'!B12</f>
        <v>0</v>
      </c>
      <c r="D6" s="26" t="n">
        <f aca="false">'Balance General 2026'!D12-'Balance General 2026'!C12</f>
        <v>0</v>
      </c>
      <c r="E6" s="26" t="n">
        <f aca="false">'Balance General 2026'!E12-'Balance General 2026'!D12</f>
        <v>0</v>
      </c>
      <c r="F6" s="26" t="n">
        <f aca="false">'Balance General 2026'!F12-'Balance General 2026'!E12</f>
        <v>0</v>
      </c>
      <c r="G6" s="26" t="n">
        <f aca="false">'Balance General 2026'!G12-'Balance General 2026'!F12</f>
        <v>0</v>
      </c>
      <c r="H6" s="26" t="n">
        <f aca="false">'Balance General 2026'!H12-'Balance General 2026'!G12</f>
        <v>0</v>
      </c>
      <c r="I6" s="26" t="n">
        <f aca="false">'Balance General 2026'!I12-'Balance General 2026'!H12</f>
        <v>0</v>
      </c>
      <c r="J6" s="26" t="n">
        <f aca="false">'Balance General 2026'!J12-'Balance General 2026'!I12</f>
        <v>0</v>
      </c>
      <c r="K6" s="26" t="n">
        <f aca="false">'Balance General 2026'!K12-'Balance General 2026'!J12</f>
        <v>0</v>
      </c>
      <c r="L6" s="26" t="n">
        <f aca="false">'Balance General 2026'!L12-'Balance General 2026'!K12</f>
        <v>0</v>
      </c>
      <c r="M6" s="26" t="n">
        <f aca="false">'Balance General 2026'!M12-'Balance General 2026'!L12</f>
        <v>0</v>
      </c>
      <c r="N6" s="20" t="n">
        <f aca="false">SUM(B6:M6)</f>
        <v>3915500</v>
      </c>
    </row>
    <row r="7" customFormat="false" ht="15" hidden="false" customHeight="false" outlineLevel="0" collapsed="false">
      <c r="A7" s="25" t="s">
        <v>87</v>
      </c>
      <c r="B7" s="26" t="n">
        <f aca="false">'Balance General 2026'!B13</f>
        <v>6501822</v>
      </c>
      <c r="C7" s="26" t="n">
        <f aca="false">'Balance General 2026'!C13-'Balance General 2026'!B13</f>
        <v>3579171</v>
      </c>
      <c r="D7" s="26" t="n">
        <f aca="false">'Balance General 2026'!D13-'Balance General 2026'!C13</f>
        <v>-1042724</v>
      </c>
      <c r="E7" s="26" t="n">
        <f aca="false">'Balance General 2026'!E13-'Balance General 2026'!D13</f>
        <v>1653357</v>
      </c>
      <c r="F7" s="26" t="n">
        <f aca="false">'Balance General 2026'!F13-'Balance General 2026'!E13</f>
        <v>303644</v>
      </c>
      <c r="G7" s="26" t="n">
        <f aca="false">'Balance General 2026'!G13-'Balance General 2026'!F13</f>
        <v>-3949453</v>
      </c>
      <c r="H7" s="26" t="n">
        <f aca="false">'Balance General 2026'!H13-'Balance General 2026'!G13</f>
        <v>-1853140</v>
      </c>
      <c r="I7" s="26" t="n">
        <f aca="false">'Balance General 2026'!I13-'Balance General 2026'!H13</f>
        <v>5530898</v>
      </c>
      <c r="J7" s="26" t="n">
        <f aca="false">'Balance General 2026'!J13-'Balance General 2026'!I13</f>
        <v>-251998</v>
      </c>
      <c r="K7" s="26" t="n">
        <f aca="false">'Balance General 2026'!K13-'Balance General 2026'!J13</f>
        <v>303673</v>
      </c>
      <c r="L7" s="26" t="n">
        <f aca="false">'Balance General 2026'!L13-'Balance General 2026'!K13</f>
        <v>-533190</v>
      </c>
      <c r="M7" s="26" t="n">
        <f aca="false">'Balance General 2026'!M13-'Balance General 2026'!L13</f>
        <v>5881409</v>
      </c>
      <c r="N7" s="20" t="n">
        <f aca="false">SUM(B7:M7)</f>
        <v>16123469</v>
      </c>
    </row>
    <row r="8" customFormat="false" ht="15" hidden="false" customHeight="false" outlineLevel="0" collapsed="false">
      <c r="A8" s="29" t="s">
        <v>88</v>
      </c>
      <c r="B8" s="23" t="n">
        <f aca="false">SUM(B3:B7)</f>
        <v>5382365</v>
      </c>
      <c r="C8" s="23" t="n">
        <f aca="false">SUM(C3:C7)</f>
        <v>10647814</v>
      </c>
      <c r="D8" s="23" t="n">
        <f aca="false">SUM(D3:D7)</f>
        <v>1978741</v>
      </c>
      <c r="E8" s="23" t="n">
        <f aca="false">SUM(E3:E7)</f>
        <v>11552835</v>
      </c>
      <c r="F8" s="23" t="n">
        <f aca="false">SUM(F3:F7)</f>
        <v>11612110</v>
      </c>
      <c r="G8" s="23" t="n">
        <f aca="false">SUM(G3:G7)</f>
        <v>-8466836</v>
      </c>
      <c r="H8" s="23" t="n">
        <f aca="false">SUM(H3:H7)</f>
        <v>-13701742</v>
      </c>
      <c r="I8" s="23" t="n">
        <f aca="false">SUM(I3:I7)</f>
        <v>16273573</v>
      </c>
      <c r="J8" s="23" t="n">
        <f aca="false">SUM(J3:J7)</f>
        <v>9647480</v>
      </c>
      <c r="K8" s="23" t="n">
        <f aca="false">SUM(K3:K7)</f>
        <v>11612139</v>
      </c>
      <c r="L8" s="23" t="n">
        <f aca="false">SUM(L3:L7)</f>
        <v>8793007</v>
      </c>
      <c r="M8" s="23" t="n">
        <f aca="false">SUM(M3:M7)</f>
        <v>-5979792</v>
      </c>
      <c r="N8" s="23" t="n">
        <f aca="false">SUM(B8:M8)</f>
        <v>59351694</v>
      </c>
    </row>
    <row r="9" customFormat="false" ht="15" hidden="false" customHeight="false" outlineLevel="0" collapsed="false">
      <c r="A9" s="27" t="s">
        <v>89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25" t="s">
        <v>90</v>
      </c>
      <c r="B10" s="30" t="n">
        <f aca="false">-'Supuestos y Notas'!$B$22</f>
        <v>-90000000</v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0</v>
      </c>
      <c r="I10" s="30" t="n">
        <v>0</v>
      </c>
      <c r="J10" s="30" t="n">
        <v>0</v>
      </c>
      <c r="K10" s="30" t="n">
        <v>0</v>
      </c>
      <c r="L10" s="30" t="n">
        <v>0</v>
      </c>
      <c r="M10" s="30" t="n">
        <v>0</v>
      </c>
      <c r="N10" s="20" t="n">
        <f aca="false">SUM(B10:M10)</f>
        <v>-90000000</v>
      </c>
    </row>
    <row r="11" customFormat="false" ht="15" hidden="false" customHeight="false" outlineLevel="0" collapsed="false">
      <c r="A11" s="27" t="s">
        <v>91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customFormat="false" ht="15" hidden="false" customHeight="false" outlineLevel="0" collapsed="false">
      <c r="A12" s="25" t="s">
        <v>92</v>
      </c>
      <c r="B12" s="30" t="n">
        <f aca="false">'Supuestos y Notas'!$B$21</f>
        <v>130000000</v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  <c r="I12" s="30" t="n">
        <v>0</v>
      </c>
      <c r="J12" s="30" t="n">
        <v>0</v>
      </c>
      <c r="K12" s="30" t="n">
        <v>0</v>
      </c>
      <c r="L12" s="30" t="n">
        <v>0</v>
      </c>
      <c r="M12" s="30" t="n">
        <v>0</v>
      </c>
      <c r="N12" s="20" t="n">
        <f aca="false">SUM(B12:M12)</f>
        <v>130000000</v>
      </c>
    </row>
    <row r="13" customFormat="false" ht="15" hidden="false" customHeight="false" outlineLevel="0" collapsed="false">
      <c r="A13" s="29" t="s">
        <v>93</v>
      </c>
      <c r="B13" s="23" t="n">
        <f aca="false">B8+B10+B12</f>
        <v>45382365</v>
      </c>
      <c r="C13" s="23" t="n">
        <f aca="false">C8+C10+C12</f>
        <v>10647814</v>
      </c>
      <c r="D13" s="23" t="n">
        <f aca="false">D8+D10+D12</f>
        <v>1978741</v>
      </c>
      <c r="E13" s="23" t="n">
        <f aca="false">E8+E10+E12</f>
        <v>11552835</v>
      </c>
      <c r="F13" s="23" t="n">
        <f aca="false">F8+F10+F12</f>
        <v>11612110</v>
      </c>
      <c r="G13" s="23" t="n">
        <f aca="false">G8+G10+G12</f>
        <v>-8466836</v>
      </c>
      <c r="H13" s="23" t="n">
        <f aca="false">H8+H10+H12</f>
        <v>-13701742</v>
      </c>
      <c r="I13" s="23" t="n">
        <f aca="false">I8+I10+I12</f>
        <v>16273573</v>
      </c>
      <c r="J13" s="23" t="n">
        <f aca="false">J8+J10+J12</f>
        <v>9647480</v>
      </c>
      <c r="K13" s="23" t="n">
        <f aca="false">K8+K10+K12</f>
        <v>11612139</v>
      </c>
      <c r="L13" s="23" t="n">
        <f aca="false">L8+L10+L12</f>
        <v>8793007</v>
      </c>
      <c r="M13" s="23" t="n">
        <f aca="false">M8+M10+M12</f>
        <v>-5979792</v>
      </c>
      <c r="N13" s="23" t="n">
        <f aca="false">SUM(B13:M13)</f>
        <v>99351694</v>
      </c>
    </row>
    <row r="14" customFormat="false" ht="15" hidden="false" customHeight="false" outlineLevel="0" collapsed="false">
      <c r="A14" s="29" t="s">
        <v>94</v>
      </c>
      <c r="B14" s="23" t="n">
        <f aca="false">B13</f>
        <v>45382365</v>
      </c>
      <c r="C14" s="23" t="n">
        <f aca="false">B14+C13</f>
        <v>56030179</v>
      </c>
      <c r="D14" s="23" t="n">
        <f aca="false">C14+D13</f>
        <v>58008920</v>
      </c>
      <c r="E14" s="23" t="n">
        <f aca="false">D14+E13</f>
        <v>69561755</v>
      </c>
      <c r="F14" s="23" t="n">
        <f aca="false">E14+F13</f>
        <v>81173865</v>
      </c>
      <c r="G14" s="23" t="n">
        <f aca="false">F14+G13</f>
        <v>72707029</v>
      </c>
      <c r="H14" s="23" t="n">
        <f aca="false">G14+H13</f>
        <v>59005287</v>
      </c>
      <c r="I14" s="23" t="n">
        <f aca="false">H14+I13</f>
        <v>75278860</v>
      </c>
      <c r="J14" s="23" t="n">
        <f aca="false">I14+J13</f>
        <v>84926340</v>
      </c>
      <c r="K14" s="23" t="n">
        <f aca="false">J14+K13</f>
        <v>96538479</v>
      </c>
      <c r="L14" s="23" t="n">
        <f aca="false">K14+L13</f>
        <v>105331486</v>
      </c>
      <c r="M14" s="23" t="n">
        <f aca="false">L14+M13</f>
        <v>99351694</v>
      </c>
      <c r="N14" s="23" t="n">
        <f aca="false">M14</f>
        <v>99351694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8" t="s">
        <v>42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  <c r="K1" s="19" t="s">
        <v>29</v>
      </c>
      <c r="L1" s="19" t="s">
        <v>30</v>
      </c>
      <c r="M1" s="19" t="s">
        <v>31</v>
      </c>
      <c r="N1" s="19" t="s">
        <v>95</v>
      </c>
    </row>
    <row r="2" customFormat="false" ht="15" hidden="false" customHeight="false" outlineLevel="0" collapsed="false">
      <c r="A2" s="27" t="s">
        <v>96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customFormat="false" ht="15" hidden="false" customHeight="false" outlineLevel="0" collapsed="false">
      <c r="A3" s="25" t="s">
        <v>97</v>
      </c>
      <c r="B3" s="26" t="n">
        <f aca="false">'Flujo de Efectivo 2026'!B14</f>
        <v>45382365</v>
      </c>
      <c r="C3" s="26" t="n">
        <f aca="false">'Flujo de Efectivo 2026'!C14</f>
        <v>56030179</v>
      </c>
      <c r="D3" s="26" t="n">
        <f aca="false">'Flujo de Efectivo 2026'!D14</f>
        <v>58008920</v>
      </c>
      <c r="E3" s="26" t="n">
        <f aca="false">'Flujo de Efectivo 2026'!E14</f>
        <v>69561755</v>
      </c>
      <c r="F3" s="26" t="n">
        <f aca="false">'Flujo de Efectivo 2026'!F14</f>
        <v>81173865</v>
      </c>
      <c r="G3" s="26" t="n">
        <f aca="false">'Flujo de Efectivo 2026'!G14</f>
        <v>72707029</v>
      </c>
      <c r="H3" s="26" t="n">
        <f aca="false">'Flujo de Efectivo 2026'!H14</f>
        <v>59005287</v>
      </c>
      <c r="I3" s="26" t="n">
        <f aca="false">'Flujo de Efectivo 2026'!I14</f>
        <v>75278860</v>
      </c>
      <c r="J3" s="26" t="n">
        <f aca="false">'Flujo de Efectivo 2026'!J14</f>
        <v>84926340</v>
      </c>
      <c r="K3" s="26" t="n">
        <f aca="false">'Flujo de Efectivo 2026'!K14</f>
        <v>96538479</v>
      </c>
      <c r="L3" s="26" t="n">
        <f aca="false">'Flujo de Efectivo 2026'!L14</f>
        <v>105331486</v>
      </c>
      <c r="M3" s="26" t="n">
        <f aca="false">'Flujo de Efectivo 2026'!M14</f>
        <v>99351694</v>
      </c>
      <c r="N3" s="20" t="n">
        <f aca="false">M3</f>
        <v>99351694</v>
      </c>
    </row>
    <row r="4" customFormat="false" ht="15" hidden="false" customHeight="false" outlineLevel="0" collapsed="false">
      <c r="A4" s="25" t="s">
        <v>98</v>
      </c>
      <c r="B4" s="30" t="n">
        <f aca="false">'Supuestos y Notas'!$B$23</f>
        <v>5000000</v>
      </c>
      <c r="C4" s="30" t="n">
        <f aca="false">'Supuestos y Notas'!$B$23</f>
        <v>5000000</v>
      </c>
      <c r="D4" s="30" t="n">
        <f aca="false">'Supuestos y Notas'!$B$23</f>
        <v>5000000</v>
      </c>
      <c r="E4" s="30" t="n">
        <f aca="false">'Supuestos y Notas'!$B$23</f>
        <v>5000000</v>
      </c>
      <c r="F4" s="30" t="n">
        <f aca="false">'Supuestos y Notas'!$B$23</f>
        <v>5000000</v>
      </c>
      <c r="G4" s="30" t="n">
        <f aca="false">'Supuestos y Notas'!$B$23</f>
        <v>5000000</v>
      </c>
      <c r="H4" s="30" t="n">
        <f aca="false">'Supuestos y Notas'!$B$23</f>
        <v>5000000</v>
      </c>
      <c r="I4" s="30" t="n">
        <f aca="false">'Supuestos y Notas'!$B$23</f>
        <v>5000000</v>
      </c>
      <c r="J4" s="30" t="n">
        <f aca="false">'Supuestos y Notas'!$B$23</f>
        <v>5000000</v>
      </c>
      <c r="K4" s="30" t="n">
        <f aca="false">'Supuestos y Notas'!$B$23</f>
        <v>5000000</v>
      </c>
      <c r="L4" s="30" t="n">
        <f aca="false">'Supuestos y Notas'!$B$23</f>
        <v>5000000</v>
      </c>
      <c r="M4" s="30" t="n">
        <f aca="false">'Supuestos y Notas'!$B$23</f>
        <v>5000000</v>
      </c>
      <c r="N4" s="20" t="n">
        <f aca="false">M4</f>
        <v>5000000</v>
      </c>
    </row>
    <row r="5" customFormat="false" ht="15" hidden="false" customHeight="false" outlineLevel="0" collapsed="false">
      <c r="A5" s="29" t="s">
        <v>99</v>
      </c>
      <c r="B5" s="23" t="n">
        <f aca="false">B3+B4</f>
        <v>50382365</v>
      </c>
      <c r="C5" s="23" t="n">
        <f aca="false">C3+C4</f>
        <v>61030179</v>
      </c>
      <c r="D5" s="23" t="n">
        <f aca="false">D3+D4</f>
        <v>63008920</v>
      </c>
      <c r="E5" s="23" t="n">
        <f aca="false">E3+E4</f>
        <v>74561755</v>
      </c>
      <c r="F5" s="23" t="n">
        <f aca="false">F3+F4</f>
        <v>86173865</v>
      </c>
      <c r="G5" s="23" t="n">
        <f aca="false">G3+G4</f>
        <v>77707029</v>
      </c>
      <c r="H5" s="23" t="n">
        <f aca="false">H3+H4</f>
        <v>64005287</v>
      </c>
      <c r="I5" s="23" t="n">
        <f aca="false">I3+I4</f>
        <v>80278860</v>
      </c>
      <c r="J5" s="23" t="n">
        <f aca="false">J3+J4</f>
        <v>89926340</v>
      </c>
      <c r="K5" s="23" t="n">
        <f aca="false">K3+K4</f>
        <v>101538479</v>
      </c>
      <c r="L5" s="23" t="n">
        <f aca="false">L3+L4</f>
        <v>110331486</v>
      </c>
      <c r="M5" s="23" t="n">
        <f aca="false">M3+M4</f>
        <v>104351694</v>
      </c>
      <c r="N5" s="23" t="n">
        <f aca="false">M5</f>
        <v>104351694</v>
      </c>
    </row>
    <row r="6" customFormat="false" ht="15" hidden="false" customHeight="false" outlineLevel="0" collapsed="false">
      <c r="A6" s="27" t="s">
        <v>100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5" hidden="false" customHeight="false" outlineLevel="0" collapsed="false">
      <c r="A7" s="25" t="s">
        <v>101</v>
      </c>
      <c r="B7" s="30" t="n">
        <f aca="false">'Supuestos y Notas'!$B$26-SUM('Estado de Resultados 2026'!$B$25:B$25)</f>
        <v>83583333</v>
      </c>
      <c r="C7" s="30" t="n">
        <f aca="false">'Supuestos y Notas'!$B$26-SUM('Estado de Resultados 2026'!$B$25:C$25)</f>
        <v>82166666</v>
      </c>
      <c r="D7" s="30" t="n">
        <f aca="false">'Supuestos y Notas'!$B$26-SUM('Estado de Resultados 2026'!$B$25:D$25)</f>
        <v>80749999</v>
      </c>
      <c r="E7" s="30" t="n">
        <f aca="false">'Supuestos y Notas'!$B$26-SUM('Estado de Resultados 2026'!$B$25:E$25)</f>
        <v>79333332</v>
      </c>
      <c r="F7" s="30" t="n">
        <f aca="false">'Supuestos y Notas'!$B$26-SUM('Estado de Resultados 2026'!$B$25:F$25)</f>
        <v>77916665</v>
      </c>
      <c r="G7" s="30" t="n">
        <f aca="false">'Supuestos y Notas'!$B$26-SUM('Estado de Resultados 2026'!$B$25:G$25)</f>
        <v>76499998</v>
      </c>
      <c r="H7" s="30" t="n">
        <f aca="false">'Supuestos y Notas'!$B$26-SUM('Estado de Resultados 2026'!$B$25:H$25)</f>
        <v>75083331</v>
      </c>
      <c r="I7" s="30" t="n">
        <f aca="false">'Supuestos y Notas'!$B$26-SUM('Estado de Resultados 2026'!$B$25:I$25)</f>
        <v>73666664</v>
      </c>
      <c r="J7" s="30" t="n">
        <f aca="false">'Supuestos y Notas'!$B$26-SUM('Estado de Resultados 2026'!$B$25:J$25)</f>
        <v>72249997</v>
      </c>
      <c r="K7" s="30" t="n">
        <f aca="false">'Supuestos y Notas'!$B$26-SUM('Estado de Resultados 2026'!$B$25:K$25)</f>
        <v>70833330</v>
      </c>
      <c r="L7" s="30" t="n">
        <f aca="false">'Supuestos y Notas'!$B$26-SUM('Estado de Resultados 2026'!$B$25:L$25)</f>
        <v>69416663</v>
      </c>
      <c r="M7" s="30" t="n">
        <f aca="false">'Supuestos y Notas'!$B$26-SUM('Estado de Resultados 2026'!$B$25:M$25)</f>
        <v>68000000</v>
      </c>
      <c r="N7" s="20" t="n">
        <f aca="false">M7</f>
        <v>68000000</v>
      </c>
    </row>
    <row r="8" customFormat="false" ht="15" hidden="false" customHeight="false" outlineLevel="0" collapsed="false">
      <c r="A8" s="29" t="s">
        <v>102</v>
      </c>
      <c r="B8" s="23" t="n">
        <f aca="false">B7</f>
        <v>83583333</v>
      </c>
      <c r="C8" s="23" t="n">
        <f aca="false">C7</f>
        <v>82166666</v>
      </c>
      <c r="D8" s="23" t="n">
        <f aca="false">D7</f>
        <v>80749999</v>
      </c>
      <c r="E8" s="23" t="n">
        <f aca="false">E7</f>
        <v>79333332</v>
      </c>
      <c r="F8" s="23" t="n">
        <f aca="false">F7</f>
        <v>77916665</v>
      </c>
      <c r="G8" s="23" t="n">
        <f aca="false">G7</f>
        <v>76499998</v>
      </c>
      <c r="H8" s="23" t="n">
        <f aca="false">H7</f>
        <v>75083331</v>
      </c>
      <c r="I8" s="23" t="n">
        <f aca="false">I7</f>
        <v>73666664</v>
      </c>
      <c r="J8" s="23" t="n">
        <f aca="false">J7</f>
        <v>72249997</v>
      </c>
      <c r="K8" s="23" t="n">
        <f aca="false">K7</f>
        <v>70833330</v>
      </c>
      <c r="L8" s="23" t="n">
        <f aca="false">L7</f>
        <v>69416663</v>
      </c>
      <c r="M8" s="23" t="n">
        <f aca="false">M7</f>
        <v>68000000</v>
      </c>
      <c r="N8" s="23" t="n">
        <f aca="false">M8</f>
        <v>68000000</v>
      </c>
    </row>
    <row r="9" customFormat="false" ht="15" hidden="false" customHeight="false" outlineLevel="0" collapsed="false">
      <c r="A9" s="29" t="s">
        <v>103</v>
      </c>
      <c r="B9" s="23" t="n">
        <f aca="false">B5+B8</f>
        <v>133965698</v>
      </c>
      <c r="C9" s="23" t="n">
        <f aca="false">C5+C8</f>
        <v>143196845</v>
      </c>
      <c r="D9" s="23" t="n">
        <f aca="false">D5+D8</f>
        <v>143758919</v>
      </c>
      <c r="E9" s="23" t="n">
        <f aca="false">E5+E8</f>
        <v>153895087</v>
      </c>
      <c r="F9" s="23" t="n">
        <f aca="false">F5+F8</f>
        <v>164090530</v>
      </c>
      <c r="G9" s="23" t="n">
        <f aca="false">G5+G8</f>
        <v>154207027</v>
      </c>
      <c r="H9" s="23" t="n">
        <f aca="false">H5+H8</f>
        <v>139088618</v>
      </c>
      <c r="I9" s="23" t="n">
        <f aca="false">I5+I8</f>
        <v>153945524</v>
      </c>
      <c r="J9" s="23" t="n">
        <f aca="false">J5+J8</f>
        <v>162176337</v>
      </c>
      <c r="K9" s="23" t="n">
        <f aca="false">K5+K8</f>
        <v>172371809</v>
      </c>
      <c r="L9" s="23" t="n">
        <f aca="false">L5+L8</f>
        <v>179748149</v>
      </c>
      <c r="M9" s="23" t="n">
        <f aca="false">M5+M8</f>
        <v>172351694</v>
      </c>
      <c r="N9" s="23" t="n">
        <f aca="false">M9</f>
        <v>172351694</v>
      </c>
    </row>
    <row r="10" customFormat="false" ht="15" hidden="false" customHeight="false" outlineLevel="0" collapsed="false">
      <c r="A10" s="27" t="s">
        <v>104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customFormat="false" ht="15" hidden="false" customHeight="false" outlineLevel="0" collapsed="false">
      <c r="A11" s="25" t="s">
        <v>105</v>
      </c>
      <c r="B11" s="30" t="n">
        <f aca="false">'Supuestos y Notas'!$B$24</f>
        <v>2578500</v>
      </c>
      <c r="C11" s="30" t="n">
        <f aca="false">'Supuestos y Notas'!$B$24</f>
        <v>2578500</v>
      </c>
      <c r="D11" s="30" t="n">
        <f aca="false">'Supuestos y Notas'!$B$24</f>
        <v>2578500</v>
      </c>
      <c r="E11" s="30" t="n">
        <f aca="false">'Supuestos y Notas'!$B$24</f>
        <v>2578500</v>
      </c>
      <c r="F11" s="30" t="n">
        <f aca="false">'Supuestos y Notas'!$B$24</f>
        <v>2578500</v>
      </c>
      <c r="G11" s="30" t="n">
        <f aca="false">'Supuestos y Notas'!$B$24</f>
        <v>2578500</v>
      </c>
      <c r="H11" s="30" t="n">
        <f aca="false">'Supuestos y Notas'!$B$24</f>
        <v>2578500</v>
      </c>
      <c r="I11" s="30" t="n">
        <f aca="false">'Supuestos y Notas'!$B$24</f>
        <v>2578500</v>
      </c>
      <c r="J11" s="30" t="n">
        <f aca="false">'Supuestos y Notas'!$B$24</f>
        <v>2578500</v>
      </c>
      <c r="K11" s="30" t="n">
        <f aca="false">'Supuestos y Notas'!$B$24</f>
        <v>2578500</v>
      </c>
      <c r="L11" s="30" t="n">
        <f aca="false">'Supuestos y Notas'!$B$24</f>
        <v>2578500</v>
      </c>
      <c r="M11" s="30" t="n">
        <f aca="false">'Supuestos y Notas'!$B$24</f>
        <v>2578500</v>
      </c>
      <c r="N11" s="20" t="n">
        <f aca="false">M11</f>
        <v>2578500</v>
      </c>
    </row>
    <row r="12" customFormat="false" ht="15" hidden="false" customHeight="false" outlineLevel="0" collapsed="false">
      <c r="A12" s="25" t="s">
        <v>106</v>
      </c>
      <c r="B12" s="30" t="n">
        <f aca="false">'Supuestos y Notas'!$B$25</f>
        <v>3915500</v>
      </c>
      <c r="C12" s="30" t="n">
        <f aca="false">'Supuestos y Notas'!$B$25</f>
        <v>3915500</v>
      </c>
      <c r="D12" s="30" t="n">
        <f aca="false">'Supuestos y Notas'!$B$25</f>
        <v>3915500</v>
      </c>
      <c r="E12" s="30" t="n">
        <f aca="false">'Supuestos y Notas'!$B$25</f>
        <v>3915500</v>
      </c>
      <c r="F12" s="30" t="n">
        <f aca="false">'Supuestos y Notas'!$B$25</f>
        <v>3915500</v>
      </c>
      <c r="G12" s="30" t="n">
        <f aca="false">'Supuestos y Notas'!$B$25</f>
        <v>3915500</v>
      </c>
      <c r="H12" s="30" t="n">
        <f aca="false">'Supuestos y Notas'!$B$25</f>
        <v>3915500</v>
      </c>
      <c r="I12" s="30" t="n">
        <f aca="false">'Supuestos y Notas'!$B$25</f>
        <v>3915500</v>
      </c>
      <c r="J12" s="30" t="n">
        <f aca="false">'Supuestos y Notas'!$B$25</f>
        <v>3915500</v>
      </c>
      <c r="K12" s="30" t="n">
        <f aca="false">'Supuestos y Notas'!$B$25</f>
        <v>3915500</v>
      </c>
      <c r="L12" s="30" t="n">
        <f aca="false">'Supuestos y Notas'!$B$25</f>
        <v>3915500</v>
      </c>
      <c r="M12" s="30" t="n">
        <f aca="false">'Supuestos y Notas'!$B$25</f>
        <v>3915500</v>
      </c>
      <c r="N12" s="20" t="n">
        <f aca="false">M12</f>
        <v>3915500</v>
      </c>
    </row>
    <row r="13" customFormat="false" ht="15" hidden="false" customHeight="false" outlineLevel="0" collapsed="false">
      <c r="A13" s="25" t="s">
        <v>107</v>
      </c>
      <c r="B13" s="30" t="n">
        <f aca="false">ROUND('Estado de Resultados 2026'!B10*'Supuestos y Notas'!$B$31,0)</f>
        <v>6501822</v>
      </c>
      <c r="C13" s="30" t="n">
        <f aca="false">ROUND('Estado de Resultados 2026'!C10*'Supuestos y Notas'!$B$32,0)</f>
        <v>10080993</v>
      </c>
      <c r="D13" s="30" t="n">
        <f aca="false">ROUND('Estado de Resultados 2026'!D10*'Supuestos y Notas'!$B$33,0)</f>
        <v>9038269</v>
      </c>
      <c r="E13" s="30" t="n">
        <f aca="false">ROUND('Estado de Resultados 2026'!E10*'Supuestos y Notas'!$B$34,0)</f>
        <v>10691626</v>
      </c>
      <c r="F13" s="30" t="n">
        <f aca="false">ROUND('Estado de Resultados 2026'!F10*'Supuestos y Notas'!$B$35,0)</f>
        <v>10995270</v>
      </c>
      <c r="G13" s="30" t="n">
        <f aca="false">ROUND('Estado de Resultados 2026'!G10*'Supuestos y Notas'!$B$36,0)</f>
        <v>7045817</v>
      </c>
      <c r="H13" s="30" t="n">
        <f aca="false">ROUND('Estado de Resultados 2026'!H10*'Supuestos y Notas'!$B$37,0)</f>
        <v>5192677</v>
      </c>
      <c r="I13" s="30" t="n">
        <f aca="false">ROUND('Estado de Resultados 2026'!I10*'Supuestos y Notas'!$B$38,0)</f>
        <v>10723575</v>
      </c>
      <c r="J13" s="30" t="n">
        <f aca="false">ROUND('Estado de Resultados 2026'!J10*'Supuestos y Notas'!$B$39,0)</f>
        <v>10471577</v>
      </c>
      <c r="K13" s="30" t="n">
        <f aca="false">ROUND('Estado de Resultados 2026'!K10*'Supuestos y Notas'!$B$40,0)</f>
        <v>10775250</v>
      </c>
      <c r="L13" s="30" t="n">
        <f aca="false">ROUND('Estado de Resultados 2026'!L10*'Supuestos y Notas'!$B$41,0)</f>
        <v>10242060</v>
      </c>
      <c r="M13" s="30" t="n">
        <f aca="false">ROUND('Estado de Resultados 2026'!M10*'Supuestos y Notas'!$B$42,0)+'Estado de Resultados 2026'!$N$37</f>
        <v>16123469</v>
      </c>
      <c r="N13" s="20" t="n">
        <f aca="false">M13</f>
        <v>16123469</v>
      </c>
    </row>
    <row r="14" customFormat="false" ht="15" hidden="false" customHeight="false" outlineLevel="0" collapsed="false">
      <c r="A14" s="29" t="s">
        <v>108</v>
      </c>
      <c r="B14" s="23" t="n">
        <f aca="false">SUM(B11:B13)</f>
        <v>12995822</v>
      </c>
      <c r="C14" s="23" t="n">
        <f aca="false">SUM(C11:C13)</f>
        <v>16574993</v>
      </c>
      <c r="D14" s="23" t="n">
        <f aca="false">SUM(D11:D13)</f>
        <v>15532269</v>
      </c>
      <c r="E14" s="23" t="n">
        <f aca="false">SUM(E11:E13)</f>
        <v>17185626</v>
      </c>
      <c r="F14" s="23" t="n">
        <f aca="false">SUM(F11:F13)</f>
        <v>17489270</v>
      </c>
      <c r="G14" s="23" t="n">
        <f aca="false">SUM(G11:G13)</f>
        <v>13539817</v>
      </c>
      <c r="H14" s="23" t="n">
        <f aca="false">SUM(H11:H13)</f>
        <v>11686677</v>
      </c>
      <c r="I14" s="23" t="n">
        <f aca="false">SUM(I11:I13)</f>
        <v>17217575</v>
      </c>
      <c r="J14" s="23" t="n">
        <f aca="false">SUM(J11:J13)</f>
        <v>16965577</v>
      </c>
      <c r="K14" s="23" t="n">
        <f aca="false">SUM(K11:K13)</f>
        <v>17269250</v>
      </c>
      <c r="L14" s="23" t="n">
        <f aca="false">SUM(L11:L13)</f>
        <v>16736060</v>
      </c>
      <c r="M14" s="23" t="n">
        <f aca="false">SUM(M11:M13)</f>
        <v>22617469</v>
      </c>
      <c r="N14" s="23" t="n">
        <f aca="false">M14</f>
        <v>22617469</v>
      </c>
    </row>
    <row r="15" customFormat="false" ht="15" hidden="false" customHeight="false" outlineLevel="0" collapsed="false">
      <c r="A15" s="27" t="s">
        <v>109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customFormat="false" ht="15" hidden="false" customHeight="false" outlineLevel="0" collapsed="false">
      <c r="A16" s="25" t="s">
        <v>110</v>
      </c>
      <c r="B16" s="30" t="n">
        <f aca="false">'Supuestos y Notas'!$B$21</f>
        <v>130000000</v>
      </c>
      <c r="C16" s="30" t="n">
        <f aca="false">'Supuestos y Notas'!$B$21</f>
        <v>130000000</v>
      </c>
      <c r="D16" s="30" t="n">
        <f aca="false">'Supuestos y Notas'!$B$21</f>
        <v>130000000</v>
      </c>
      <c r="E16" s="30" t="n">
        <f aca="false">'Supuestos y Notas'!$B$21</f>
        <v>130000000</v>
      </c>
      <c r="F16" s="30" t="n">
        <f aca="false">'Supuestos y Notas'!$B$21</f>
        <v>130000000</v>
      </c>
      <c r="G16" s="30" t="n">
        <f aca="false">'Supuestos y Notas'!$B$21</f>
        <v>130000000</v>
      </c>
      <c r="H16" s="30" t="n">
        <f aca="false">'Supuestos y Notas'!$B$21</f>
        <v>130000000</v>
      </c>
      <c r="I16" s="30" t="n">
        <f aca="false">'Supuestos y Notas'!$B$21</f>
        <v>130000000</v>
      </c>
      <c r="J16" s="30" t="n">
        <f aca="false">'Supuestos y Notas'!$B$21</f>
        <v>130000000</v>
      </c>
      <c r="K16" s="30" t="n">
        <f aca="false">'Supuestos y Notas'!$B$21</f>
        <v>130000000</v>
      </c>
      <c r="L16" s="30" t="n">
        <f aca="false">'Supuestos y Notas'!$B$21</f>
        <v>130000000</v>
      </c>
      <c r="M16" s="30" t="n">
        <f aca="false">'Supuestos y Notas'!$B$21</f>
        <v>130000000</v>
      </c>
      <c r="N16" s="20" t="n">
        <f aca="false">M16</f>
        <v>130000000</v>
      </c>
    </row>
    <row r="17" customFormat="false" ht="15" hidden="false" customHeight="false" outlineLevel="0" collapsed="false">
      <c r="A17" s="25" t="s">
        <v>111</v>
      </c>
      <c r="B17" s="30" t="n">
        <f aca="false">SUM('Estado de Resultados 2026'!$B$38:B$38)</f>
        <v>-9030124</v>
      </c>
      <c r="C17" s="30" t="n">
        <f aca="false">SUM('Estado de Resultados 2026'!$B$38:C$38)</f>
        <v>-3378148</v>
      </c>
      <c r="D17" s="30" t="n">
        <f aca="false">SUM('Estado de Resultados 2026'!$B$38:D$38)</f>
        <v>-1773350</v>
      </c>
      <c r="E17" s="30" t="n">
        <f aca="false">SUM('Estado de Resultados 2026'!$B$38:E$38)</f>
        <v>6709461</v>
      </c>
      <c r="F17" s="30" t="n">
        <f aca="false">SUM('Estado de Resultados 2026'!$B$38:F$38)</f>
        <v>16601260</v>
      </c>
      <c r="G17" s="30" t="n">
        <f aca="false">SUM('Estado de Resultados 2026'!$B$38:G$38)</f>
        <v>10667210</v>
      </c>
      <c r="H17" s="30" t="n">
        <f aca="false">SUM('Estado de Resultados 2026'!$B$38:H$38)</f>
        <v>-2598059</v>
      </c>
      <c r="I17" s="30" t="n">
        <f aca="false">SUM('Estado de Resultados 2026'!$B$38:I$38)</f>
        <v>6727949</v>
      </c>
      <c r="J17" s="30" t="n">
        <f aca="false">SUM('Estado de Resultados 2026'!$B$38:J$38)</f>
        <v>15210760</v>
      </c>
      <c r="K17" s="30" t="n">
        <f aca="false">SUM('Estado de Resultados 2026'!$B$38:K$38)</f>
        <v>25102559</v>
      </c>
      <c r="L17" s="30" t="n">
        <f aca="false">SUM('Estado de Resultados 2026'!$B$38:L$38)</f>
        <v>33012089</v>
      </c>
      <c r="M17" s="30" t="n">
        <f aca="false">SUM('Estado de Resultados 2026'!$B$38:M$38)</f>
        <v>19734225</v>
      </c>
      <c r="N17" s="20" t="n">
        <f aca="false">M17</f>
        <v>19734225</v>
      </c>
    </row>
    <row r="18" customFormat="false" ht="15" hidden="false" customHeight="false" outlineLevel="0" collapsed="false">
      <c r="A18" s="29" t="s">
        <v>112</v>
      </c>
      <c r="B18" s="23" t="n">
        <f aca="false">B16+B17</f>
        <v>120969876</v>
      </c>
      <c r="C18" s="23" t="n">
        <f aca="false">C16+C17</f>
        <v>126621852</v>
      </c>
      <c r="D18" s="23" t="n">
        <f aca="false">D16+D17</f>
        <v>128226650</v>
      </c>
      <c r="E18" s="23" t="n">
        <f aca="false">E16+E17</f>
        <v>136709461</v>
      </c>
      <c r="F18" s="23" t="n">
        <f aca="false">F16+F17</f>
        <v>146601260</v>
      </c>
      <c r="G18" s="23" t="n">
        <f aca="false">G16+G17</f>
        <v>140667210</v>
      </c>
      <c r="H18" s="23" t="n">
        <f aca="false">H16+H17</f>
        <v>127401941</v>
      </c>
      <c r="I18" s="23" t="n">
        <f aca="false">I16+I17</f>
        <v>136727949</v>
      </c>
      <c r="J18" s="23" t="n">
        <f aca="false">J16+J17</f>
        <v>145210760</v>
      </c>
      <c r="K18" s="23" t="n">
        <f aca="false">K16+K17</f>
        <v>155102559</v>
      </c>
      <c r="L18" s="23" t="n">
        <f aca="false">L16+L17</f>
        <v>163012089</v>
      </c>
      <c r="M18" s="23" t="n">
        <f aca="false">M16+M17</f>
        <v>149734225</v>
      </c>
      <c r="N18" s="23" t="n">
        <f aca="false">M18</f>
        <v>149734225</v>
      </c>
    </row>
    <row r="19" customFormat="false" ht="15" hidden="false" customHeight="false" outlineLevel="0" collapsed="false">
      <c r="A19" s="29" t="s">
        <v>113</v>
      </c>
      <c r="B19" s="23" t="n">
        <f aca="false">B14+B18</f>
        <v>133965698</v>
      </c>
      <c r="C19" s="23" t="n">
        <f aca="false">C14+C18</f>
        <v>143196845</v>
      </c>
      <c r="D19" s="23" t="n">
        <f aca="false">D14+D18</f>
        <v>143758919</v>
      </c>
      <c r="E19" s="23" t="n">
        <f aca="false">E14+E18</f>
        <v>153895087</v>
      </c>
      <c r="F19" s="23" t="n">
        <f aca="false">F14+F18</f>
        <v>164090530</v>
      </c>
      <c r="G19" s="23" t="n">
        <f aca="false">G14+G18</f>
        <v>154207027</v>
      </c>
      <c r="H19" s="23" t="n">
        <f aca="false">H14+H18</f>
        <v>139088618</v>
      </c>
      <c r="I19" s="23" t="n">
        <f aca="false">I14+I18</f>
        <v>153945524</v>
      </c>
      <c r="J19" s="23" t="n">
        <f aca="false">J14+J18</f>
        <v>162176337</v>
      </c>
      <c r="K19" s="23" t="n">
        <f aca="false">K14+K18</f>
        <v>172371809</v>
      </c>
      <c r="L19" s="23" t="n">
        <f aca="false">L14+L18</f>
        <v>179748149</v>
      </c>
      <c r="M19" s="23" t="n">
        <f aca="false">M14+M18</f>
        <v>172351694</v>
      </c>
      <c r="N19" s="23" t="n">
        <f aca="false">M19</f>
        <v>172351694</v>
      </c>
    </row>
    <row r="21" customFormat="false" ht="15" hidden="false" customHeight="false" outlineLevel="0" collapsed="false">
      <c r="A21" s="2" t="s">
        <v>114</v>
      </c>
      <c r="B21" s="31" t="n">
        <f aca="false">B9-B19</f>
        <v>0</v>
      </c>
      <c r="C21" s="31" t="n">
        <f aca="false">C9-C19</f>
        <v>0</v>
      </c>
      <c r="D21" s="31" t="n">
        <f aca="false">D9-D19</f>
        <v>0</v>
      </c>
      <c r="E21" s="31" t="n">
        <f aca="false">E9-E19</f>
        <v>0</v>
      </c>
      <c r="F21" s="31" t="n">
        <f aca="false">F9-F19</f>
        <v>0</v>
      </c>
      <c r="G21" s="31" t="n">
        <f aca="false">G9-G19</f>
        <v>0</v>
      </c>
      <c r="H21" s="31" t="n">
        <f aca="false">H9-H19</f>
        <v>0</v>
      </c>
      <c r="I21" s="31" t="n">
        <f aca="false">I9-I19</f>
        <v>0</v>
      </c>
      <c r="J21" s="31" t="n">
        <f aca="false">J9-J19</f>
        <v>0</v>
      </c>
      <c r="K21" s="31" t="n">
        <f aca="false">K9-K19</f>
        <v>0</v>
      </c>
      <c r="L21" s="31" t="n">
        <f aca="false">L9-L19</f>
        <v>0</v>
      </c>
      <c r="M21" s="31" t="n">
        <f aca="false">M9-M19</f>
        <v>0</v>
      </c>
      <c r="N21" s="31" t="n">
        <f aca="false">M21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115</v>
      </c>
    </row>
    <row r="3" customFormat="false" ht="15" hidden="false" customHeight="false" outlineLevel="0" collapsed="false">
      <c r="A3" s="32" t="s">
        <v>116</v>
      </c>
      <c r="B3" s="33"/>
      <c r="C3" s="33"/>
    </row>
    <row r="4" customFormat="false" ht="15" hidden="false" customHeight="false" outlineLevel="0" collapsed="false">
      <c r="A4" s="0" t="s">
        <v>117</v>
      </c>
      <c r="B4" s="34" t="n">
        <v>0.003</v>
      </c>
      <c r="C4" s="2" t="s">
        <v>118</v>
      </c>
    </row>
    <row r="5" customFormat="false" ht="15" hidden="false" customHeight="false" outlineLevel="0" collapsed="false">
      <c r="A5" s="0" t="s">
        <v>119</v>
      </c>
      <c r="B5" s="34" t="n">
        <v>0.24</v>
      </c>
      <c r="C5" s="2" t="s">
        <v>120</v>
      </c>
    </row>
    <row r="6" customFormat="false" ht="15" hidden="false" customHeight="false" outlineLevel="0" collapsed="false">
      <c r="A6" s="0" t="s">
        <v>121</v>
      </c>
      <c r="B6" s="34" t="n">
        <v>0.2</v>
      </c>
      <c r="C6" s="2" t="s">
        <v>120</v>
      </c>
    </row>
    <row r="7" customFormat="false" ht="15" hidden="false" customHeight="false" outlineLevel="0" collapsed="false">
      <c r="A7" s="0" t="s">
        <v>122</v>
      </c>
      <c r="B7" s="34" t="n">
        <v>0.37</v>
      </c>
      <c r="C7" s="2" t="s">
        <v>120</v>
      </c>
    </row>
    <row r="8" customFormat="false" ht="15" hidden="false" customHeight="false" outlineLevel="0" collapsed="false">
      <c r="A8" s="0" t="s">
        <v>123</v>
      </c>
      <c r="B8" s="7" t="n">
        <v>300</v>
      </c>
      <c r="C8" s="2" t="s">
        <v>120</v>
      </c>
    </row>
    <row r="9" customFormat="false" ht="15" hidden="false" customHeight="false" outlineLevel="0" collapsed="false">
      <c r="A9" s="0" t="s">
        <v>124</v>
      </c>
      <c r="B9" s="7" t="n">
        <v>1000</v>
      </c>
      <c r="C9" s="2" t="s">
        <v>125</v>
      </c>
    </row>
    <row r="10" customFormat="false" ht="15" hidden="false" customHeight="false" outlineLevel="0" collapsed="false">
      <c r="A10" s="0" t="s">
        <v>126</v>
      </c>
      <c r="B10" s="7" t="n">
        <v>15725</v>
      </c>
      <c r="C10" s="2" t="s">
        <v>125</v>
      </c>
    </row>
    <row r="11" customFormat="false" ht="15" hidden="false" customHeight="false" outlineLevel="0" collapsed="false">
      <c r="A11" s="0" t="s">
        <v>127</v>
      </c>
      <c r="B11" s="7" t="n">
        <v>187200000</v>
      </c>
      <c r="C11" s="2" t="s">
        <v>128</v>
      </c>
    </row>
    <row r="12" customFormat="false" ht="15" hidden="false" customHeight="false" outlineLevel="0" collapsed="false">
      <c r="A12" s="0" t="s">
        <v>129</v>
      </c>
      <c r="B12" s="7" t="n">
        <v>42000000</v>
      </c>
      <c r="C12" s="2" t="s">
        <v>130</v>
      </c>
    </row>
    <row r="13" customFormat="false" ht="15" hidden="false" customHeight="false" outlineLevel="0" collapsed="false">
      <c r="A13" s="0" t="s">
        <v>131</v>
      </c>
      <c r="B13" s="7" t="n">
        <v>42000000</v>
      </c>
      <c r="C13" s="2" t="s">
        <v>130</v>
      </c>
    </row>
    <row r="14" customFormat="false" ht="15" hidden="false" customHeight="false" outlineLevel="0" collapsed="false">
      <c r="A14" s="0" t="s">
        <v>132</v>
      </c>
      <c r="B14" s="7" t="n">
        <v>48000000</v>
      </c>
      <c r="C14" s="2" t="s">
        <v>130</v>
      </c>
    </row>
    <row r="15" customFormat="false" ht="15" hidden="false" customHeight="false" outlineLevel="0" collapsed="false">
      <c r="A15" s="0" t="s">
        <v>133</v>
      </c>
      <c r="B15" s="7" t="n">
        <v>6000000</v>
      </c>
      <c r="C15" s="2" t="s">
        <v>130</v>
      </c>
    </row>
    <row r="16" customFormat="false" ht="15" hidden="false" customHeight="false" outlineLevel="0" collapsed="false">
      <c r="A16" s="0" t="s">
        <v>134</v>
      </c>
      <c r="B16" s="7" t="n">
        <v>4560000</v>
      </c>
      <c r="C16" s="2" t="s">
        <v>130</v>
      </c>
    </row>
    <row r="17" customFormat="false" ht="15" hidden="false" customHeight="false" outlineLevel="0" collapsed="false">
      <c r="A17" s="0" t="s">
        <v>135</v>
      </c>
      <c r="B17" s="7" t="n">
        <v>17000000</v>
      </c>
      <c r="C17" s="2" t="s">
        <v>130</v>
      </c>
    </row>
    <row r="18" customFormat="false" ht="15" hidden="false" customHeight="false" outlineLevel="0" collapsed="false">
      <c r="A18" s="0" t="s">
        <v>136</v>
      </c>
      <c r="B18" s="7" t="n">
        <v>47600000</v>
      </c>
      <c r="C18" s="2" t="s">
        <v>130</v>
      </c>
    </row>
    <row r="19" customFormat="false" ht="15" hidden="false" customHeight="false" outlineLevel="0" collapsed="false">
      <c r="A19" s="0" t="s">
        <v>137</v>
      </c>
      <c r="B19" s="35" t="n">
        <v>0.004</v>
      </c>
      <c r="C19" s="2" t="s">
        <v>138</v>
      </c>
    </row>
    <row r="20" customFormat="false" ht="15" hidden="false" customHeight="false" outlineLevel="0" collapsed="false">
      <c r="A20" s="0" t="s">
        <v>139</v>
      </c>
      <c r="B20" s="34" t="n">
        <v>0.35</v>
      </c>
      <c r="C20" s="2" t="s">
        <v>140</v>
      </c>
    </row>
    <row r="21" customFormat="false" ht="15" hidden="false" customHeight="false" outlineLevel="0" collapsed="false">
      <c r="A21" s="0" t="s">
        <v>141</v>
      </c>
      <c r="B21" s="7" t="n">
        <v>130000000</v>
      </c>
      <c r="C21" s="2" t="s">
        <v>130</v>
      </c>
    </row>
    <row r="22" customFormat="false" ht="15" hidden="false" customHeight="false" outlineLevel="0" collapsed="false">
      <c r="A22" s="0" t="s">
        <v>142</v>
      </c>
      <c r="B22" s="7" t="n">
        <v>90000000</v>
      </c>
      <c r="C22" s="2" t="s">
        <v>130</v>
      </c>
    </row>
    <row r="23" customFormat="false" ht="15" hidden="false" customHeight="false" outlineLevel="0" collapsed="false">
      <c r="A23" s="0" t="s">
        <v>143</v>
      </c>
      <c r="B23" s="7" t="n">
        <v>5000000</v>
      </c>
      <c r="C23" s="2" t="s">
        <v>130</v>
      </c>
    </row>
    <row r="24" customFormat="false" ht="15" hidden="false" customHeight="false" outlineLevel="0" collapsed="false">
      <c r="A24" s="0" t="s">
        <v>144</v>
      </c>
      <c r="B24" s="7" t="n">
        <v>2578500</v>
      </c>
      <c r="C24" s="2" t="s">
        <v>130</v>
      </c>
    </row>
    <row r="25" customFormat="false" ht="15" hidden="false" customHeight="false" outlineLevel="0" collapsed="false">
      <c r="A25" s="0" t="s">
        <v>145</v>
      </c>
      <c r="B25" s="7" t="n">
        <v>3915500</v>
      </c>
      <c r="C25" s="2" t="s">
        <v>130</v>
      </c>
    </row>
    <row r="26" customFormat="false" ht="15" hidden="false" customHeight="false" outlineLevel="0" collapsed="false">
      <c r="A26" s="0" t="s">
        <v>146</v>
      </c>
      <c r="B26" s="8" t="n">
        <f aca="false">$B$22-$B$23</f>
        <v>85000000</v>
      </c>
      <c r="C26" s="2" t="s">
        <v>147</v>
      </c>
    </row>
    <row r="27" customFormat="false" ht="15" hidden="false" customHeight="false" outlineLevel="0" collapsed="false">
      <c r="A27" s="0" t="s">
        <v>148</v>
      </c>
      <c r="B27" s="5" t="n">
        <f aca="false">B10/'Ventas por Producto 2026'!D8</f>
        <v>0.553697183098592</v>
      </c>
      <c r="C27" s="2" t="s">
        <v>149</v>
      </c>
    </row>
    <row r="29" customFormat="false" ht="15" hidden="false" customHeight="false" outlineLevel="0" collapsed="false">
      <c r="A29" s="32" t="s">
        <v>150</v>
      </c>
      <c r="B29" s="33"/>
      <c r="C29" s="33"/>
    </row>
    <row r="30" customFormat="false" ht="30" hidden="false" customHeight="true" outlineLevel="0" collapsed="false">
      <c r="A30" s="36" t="s">
        <v>151</v>
      </c>
    </row>
    <row r="31" customFormat="false" ht="15" hidden="false" customHeight="false" outlineLevel="0" collapsed="false">
      <c r="A31" s="0" t="s">
        <v>152</v>
      </c>
      <c r="B31" s="37" t="n">
        <v>0.091985</v>
      </c>
    </row>
    <row r="32" customFormat="false" ht="15" hidden="false" customHeight="false" outlineLevel="0" collapsed="false">
      <c r="A32" s="0" t="s">
        <v>153</v>
      </c>
      <c r="B32" s="37" t="n">
        <v>0.089645</v>
      </c>
    </row>
    <row r="33" customFormat="false" ht="15" hidden="false" customHeight="false" outlineLevel="0" collapsed="false">
      <c r="A33" s="0" t="s">
        <v>154</v>
      </c>
      <c r="B33" s="37" t="n">
        <v>0.089541</v>
      </c>
    </row>
    <row r="34" customFormat="false" ht="15" hidden="false" customHeight="false" outlineLevel="0" collapsed="false">
      <c r="A34" s="0" t="s">
        <v>155</v>
      </c>
      <c r="B34" s="37" t="n">
        <v>0.088721</v>
      </c>
    </row>
    <row r="35" customFormat="false" ht="15" hidden="false" customHeight="false" outlineLevel="0" collapsed="false">
      <c r="A35" s="0" t="s">
        <v>156</v>
      </c>
      <c r="B35" s="37" t="n">
        <v>0.088304</v>
      </c>
    </row>
    <row r="36" customFormat="false" ht="15" hidden="false" customHeight="false" outlineLevel="0" collapsed="false">
      <c r="A36" s="0" t="s">
        <v>157</v>
      </c>
      <c r="B36" s="37" t="n">
        <v>0.088636</v>
      </c>
    </row>
    <row r="37" customFormat="false" ht="15" hidden="false" customHeight="false" outlineLevel="0" collapsed="false">
      <c r="A37" s="0" t="s">
        <v>158</v>
      </c>
      <c r="B37" s="37" t="n">
        <v>0.088561</v>
      </c>
    </row>
    <row r="38" customFormat="false" ht="15" hidden="false" customHeight="false" outlineLevel="0" collapsed="false">
      <c r="A38" s="0" t="s">
        <v>159</v>
      </c>
      <c r="B38" s="37" t="n">
        <v>0.08725</v>
      </c>
    </row>
    <row r="39" customFormat="false" ht="15" hidden="false" customHeight="false" outlineLevel="0" collapsed="false">
      <c r="A39" s="0" t="s">
        <v>160</v>
      </c>
      <c r="B39" s="37" t="n">
        <v>0.086895</v>
      </c>
    </row>
    <row r="40" customFormat="false" ht="15" hidden="false" customHeight="false" outlineLevel="0" collapsed="false">
      <c r="A40" s="0" t="s">
        <v>161</v>
      </c>
      <c r="B40" s="37" t="n">
        <v>0.086537</v>
      </c>
    </row>
    <row r="41" customFormat="false" ht="15" hidden="false" customHeight="false" outlineLevel="0" collapsed="false">
      <c r="A41" s="0" t="s">
        <v>162</v>
      </c>
      <c r="B41" s="37" t="n">
        <v>0.086157</v>
      </c>
    </row>
    <row r="42" customFormat="false" ht="15" hidden="false" customHeight="false" outlineLevel="0" collapsed="false">
      <c r="A42" s="0" t="s">
        <v>163</v>
      </c>
      <c r="B42" s="37" t="n">
        <v>0.093813</v>
      </c>
    </row>
    <row r="44" customFormat="false" ht="15" hidden="false" customHeight="false" outlineLevel="0" collapsed="false">
      <c r="A44" s="32" t="s">
        <v>164</v>
      </c>
      <c r="B44" s="33"/>
      <c r="C44" s="33"/>
    </row>
    <row r="45" customFormat="false" ht="48" hidden="false" customHeight="true" outlineLevel="0" collapsed="false">
      <c r="A45" s="38" t="s">
        <v>165</v>
      </c>
      <c r="B45" s="38"/>
      <c r="C45" s="38"/>
    </row>
    <row r="46" customFormat="false" ht="48" hidden="false" customHeight="true" outlineLevel="0" collapsed="false">
      <c r="A46" s="38" t="s">
        <v>166</v>
      </c>
      <c r="B46" s="38"/>
      <c r="C46" s="38"/>
    </row>
    <row r="47" customFormat="false" ht="48" hidden="false" customHeight="true" outlineLevel="0" collapsed="false">
      <c r="A47" s="38" t="s">
        <v>167</v>
      </c>
      <c r="B47" s="38"/>
      <c r="C47" s="38"/>
    </row>
    <row r="48" customFormat="false" ht="48" hidden="false" customHeight="true" outlineLevel="0" collapsed="false">
      <c r="A48" s="38" t="s">
        <v>168</v>
      </c>
      <c r="B48" s="38"/>
      <c r="C48" s="38"/>
    </row>
    <row r="49" customFormat="false" ht="48" hidden="false" customHeight="true" outlineLevel="0" collapsed="false">
      <c r="A49" s="38" t="s">
        <v>169</v>
      </c>
      <c r="B49" s="38"/>
      <c r="C49" s="38"/>
    </row>
    <row r="50" customFormat="false" ht="48" hidden="false" customHeight="true" outlineLevel="0" collapsed="false">
      <c r="A50" s="38" t="s">
        <v>170</v>
      </c>
      <c r="B50" s="38"/>
      <c r="C50" s="38"/>
    </row>
    <row r="51" customFormat="false" ht="48" hidden="false" customHeight="true" outlineLevel="0" collapsed="false">
      <c r="A51" s="38" t="s">
        <v>171</v>
      </c>
      <c r="B51" s="38"/>
      <c r="C51" s="38"/>
    </row>
    <row r="52" customFormat="false" ht="48" hidden="false" customHeight="true" outlineLevel="0" collapsed="false">
      <c r="A52" s="38" t="s">
        <v>172</v>
      </c>
      <c r="B52" s="38"/>
      <c r="C52" s="38"/>
    </row>
    <row r="53" customFormat="false" ht="48" hidden="false" customHeight="true" outlineLevel="0" collapsed="false">
      <c r="A53" s="38" t="s">
        <v>173</v>
      </c>
      <c r="B53" s="38"/>
      <c r="C53" s="38"/>
    </row>
    <row r="54" customFormat="false" ht="48" hidden="false" customHeight="true" outlineLevel="0" collapsed="false">
      <c r="A54" s="38" t="s">
        <v>174</v>
      </c>
      <c r="B54" s="38"/>
      <c r="C54" s="38"/>
    </row>
    <row r="55" customFormat="false" ht="48" hidden="false" customHeight="true" outlineLevel="0" collapsed="false">
      <c r="A55" s="38" t="s">
        <v>175</v>
      </c>
      <c r="B55" s="38"/>
      <c r="C55" s="38"/>
    </row>
    <row r="56" customFormat="false" ht="48" hidden="false" customHeight="true" outlineLevel="0" collapsed="false">
      <c r="A56" s="38" t="s">
        <v>176</v>
      </c>
      <c r="B56" s="38"/>
      <c r="C56" s="38"/>
    </row>
    <row r="57" customFormat="false" ht="48" hidden="false" customHeight="true" outlineLevel="0" collapsed="false">
      <c r="A57" s="38" t="s">
        <v>177</v>
      </c>
      <c r="B57" s="38"/>
      <c r="C57" s="38"/>
    </row>
    <row r="58" customFormat="false" ht="48" hidden="false" customHeight="true" outlineLevel="0" collapsed="false">
      <c r="A58" s="38" t="s">
        <v>178</v>
      </c>
      <c r="B58" s="38"/>
      <c r="C58" s="38"/>
    </row>
  </sheetData>
  <mergeCells count="14"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2026-10-20T14:53:25Z</dcterms:created>
  <dc:creator>openpyxl</dc:creator>
  <dc:description/>
  <dc:language>en-US</dc:language>
  <cp:lastModifiedBy/>
  <dcterms:modified xsi:type="dcterms:W3CDTF">2026-10-20T14:53:25Z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