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9ba98d89d7f14edb/Escritorio/proyecto_Claude/Direccionamiento u/"/>
    </mc:Choice>
  </mc:AlternateContent>
  <xr:revisionPtr revIDLastSave="18" documentId="11_32EA212CEE1E86F7AB99EC52986CBCB7C5642E0D" xr6:coauthVersionLast="47" xr6:coauthVersionMax="47" xr10:uidLastSave="{C205FEC1-D632-40A6-BD87-FF96D6E45248}"/>
  <bookViews>
    <workbookView xWindow="-120" yWindow="-120" windowWidth="20730" windowHeight="11040" tabRatio="500" activeTab="1" xr2:uid="{00000000-000D-0000-FFFF-FFFF00000000}"/>
  </bookViews>
  <sheets>
    <sheet name="Resumen Ejecutivo" sheetId="1" r:id="rId1"/>
    <sheet name="Reporte Costo-Beneficio" sheetId="2" r:id="rId2"/>
    <sheet name="Supuesto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3" i="3" l="1"/>
  <c r="C23" i="3"/>
  <c r="T22" i="3"/>
  <c r="AM21" i="2" s="1"/>
  <c r="AM20" i="2" s="1"/>
  <c r="AP20" i="2" s="1"/>
  <c r="S22" i="3"/>
  <c r="Q22" i="3"/>
  <c r="S21" i="3"/>
  <c r="T21" i="3" s="1"/>
  <c r="Q21" i="3"/>
  <c r="AJ19" i="2" s="1"/>
  <c r="S20" i="3"/>
  <c r="T20" i="3" s="1"/>
  <c r="Q20" i="3"/>
  <c r="AF18" i="2" s="1"/>
  <c r="S19" i="3"/>
  <c r="T19" i="3" s="1"/>
  <c r="Q19" i="3"/>
  <c r="S18" i="3"/>
  <c r="T18" i="3" s="1"/>
  <c r="Q18" i="3"/>
  <c r="AR15" i="2" s="1"/>
  <c r="T17" i="3"/>
  <c r="AQ13" i="2" s="1"/>
  <c r="S17" i="3"/>
  <c r="Q17" i="3"/>
  <c r="AF13" i="2" s="1"/>
  <c r="S16" i="3"/>
  <c r="T16" i="3" s="1"/>
  <c r="Q16" i="3"/>
  <c r="X12" i="2" s="1"/>
  <c r="T15" i="3"/>
  <c r="O11" i="2" s="1"/>
  <c r="S15" i="3"/>
  <c r="Q15" i="3"/>
  <c r="T14" i="3"/>
  <c r="AE10" i="2" s="1"/>
  <c r="S14" i="3"/>
  <c r="Q14" i="3"/>
  <c r="AR10" i="2" s="1"/>
  <c r="S13" i="3"/>
  <c r="T13" i="3" s="1"/>
  <c r="Q13" i="3"/>
  <c r="S12" i="3"/>
  <c r="Q12" i="3"/>
  <c r="B21" i="2"/>
  <c r="AV19" i="2"/>
  <c r="AR19" i="2"/>
  <c r="AN19" i="2"/>
  <c r="AB19" i="2"/>
  <c r="P19" i="2"/>
  <c r="L19" i="2"/>
  <c r="H19" i="2"/>
  <c r="B19" i="2"/>
  <c r="AR18" i="2"/>
  <c r="AR17" i="2" s="1"/>
  <c r="AN18" i="2"/>
  <c r="AJ18" i="2"/>
  <c r="X18" i="2"/>
  <c r="T18" i="2"/>
  <c r="L18" i="2"/>
  <c r="L17" i="2" s="1"/>
  <c r="H18" i="2"/>
  <c r="D18" i="2"/>
  <c r="B18" i="2"/>
  <c r="B16" i="2"/>
  <c r="AV15" i="2"/>
  <c r="AU15" i="2"/>
  <c r="AQ15" i="2"/>
  <c r="AN15" i="2"/>
  <c r="AM15" i="2"/>
  <c r="AJ15" i="2"/>
  <c r="AI15" i="2"/>
  <c r="AF15" i="2"/>
  <c r="AE15" i="2"/>
  <c r="AB15" i="2"/>
  <c r="AA15" i="2"/>
  <c r="AC15" i="2" s="1"/>
  <c r="X15" i="2"/>
  <c r="W15" i="2"/>
  <c r="T15" i="2"/>
  <c r="S15" i="2"/>
  <c r="P15" i="2"/>
  <c r="O15" i="2"/>
  <c r="L15" i="2"/>
  <c r="K15" i="2"/>
  <c r="H15" i="2"/>
  <c r="G15" i="2"/>
  <c r="J15" i="2" s="1"/>
  <c r="D15" i="2"/>
  <c r="C15" i="2"/>
  <c r="B15" i="2"/>
  <c r="AR13" i="2"/>
  <c r="AB13" i="2"/>
  <c r="L13" i="2"/>
  <c r="B13" i="2"/>
  <c r="AV12" i="2"/>
  <c r="P12" i="2"/>
  <c r="B12" i="2"/>
  <c r="AM11" i="2"/>
  <c r="AA11" i="2"/>
  <c r="W11" i="2"/>
  <c r="S11" i="2"/>
  <c r="H11" i="2"/>
  <c r="B11" i="2"/>
  <c r="AU10" i="2"/>
  <c r="AF10" i="2"/>
  <c r="P10" i="2"/>
  <c r="B10" i="2"/>
  <c r="AV8" i="2"/>
  <c r="AR8" i="2"/>
  <c r="AN8" i="2"/>
  <c r="AJ8" i="2"/>
  <c r="AF8" i="2"/>
  <c r="AB8" i="2"/>
  <c r="X8" i="2"/>
  <c r="T8" i="2"/>
  <c r="T6" i="2" s="1"/>
  <c r="P8" i="2"/>
  <c r="L8" i="2"/>
  <c r="H8" i="2"/>
  <c r="D8" i="2"/>
  <c r="B8" i="2"/>
  <c r="AV7" i="2"/>
  <c r="AV6" i="2" s="1"/>
  <c r="AR7" i="2"/>
  <c r="AR6" i="2" s="1"/>
  <c r="AN7" i="2"/>
  <c r="AJ7" i="2"/>
  <c r="AF7" i="2"/>
  <c r="AB7" i="2"/>
  <c r="X7" i="2"/>
  <c r="T7" i="2"/>
  <c r="P7" i="2"/>
  <c r="P6" i="2" s="1"/>
  <c r="L7" i="2"/>
  <c r="L6" i="2" s="1"/>
  <c r="H7" i="2"/>
  <c r="H6" i="2" s="1"/>
  <c r="D7" i="2"/>
  <c r="B7" i="2"/>
  <c r="AJ6" i="2"/>
  <c r="F40" i="1"/>
  <c r="F39" i="1"/>
  <c r="F38" i="1"/>
  <c r="F37" i="1"/>
  <c r="F36" i="1"/>
  <c r="F35" i="1"/>
  <c r="F34" i="1"/>
  <c r="F33" i="1"/>
  <c r="F32" i="1"/>
  <c r="F31" i="1"/>
  <c r="F30" i="1"/>
  <c r="F29" i="1"/>
  <c r="I24" i="1"/>
  <c r="H24" i="1"/>
  <c r="B24" i="1"/>
  <c r="A24" i="1"/>
  <c r="I23" i="1"/>
  <c r="H23" i="1"/>
  <c r="B23" i="1"/>
  <c r="A23" i="1"/>
  <c r="I22" i="1"/>
  <c r="H22" i="1"/>
  <c r="B22" i="1"/>
  <c r="A22" i="1"/>
  <c r="I21" i="1"/>
  <c r="H21" i="1"/>
  <c r="B21" i="1"/>
  <c r="A21" i="1"/>
  <c r="I20" i="1"/>
  <c r="H20" i="1"/>
  <c r="B20" i="1"/>
  <c r="A20" i="1"/>
  <c r="I19" i="1"/>
  <c r="B19" i="1"/>
  <c r="A19" i="1"/>
  <c r="I18" i="1"/>
  <c r="B18" i="1"/>
  <c r="A18" i="1"/>
  <c r="I17" i="1"/>
  <c r="H17" i="1"/>
  <c r="B17" i="1"/>
  <c r="A17" i="1"/>
  <c r="I16" i="1"/>
  <c r="B16" i="1"/>
  <c r="A16" i="1"/>
  <c r="I15" i="1"/>
  <c r="H15" i="1"/>
  <c r="B15" i="1"/>
  <c r="A15" i="1"/>
  <c r="I14" i="1"/>
  <c r="H14" i="1"/>
  <c r="B14" i="1"/>
  <c r="A14" i="1"/>
  <c r="G9" i="1"/>
  <c r="G8" i="1"/>
  <c r="G7" i="1"/>
  <c r="G6" i="1"/>
  <c r="G5" i="1"/>
  <c r="H19" i="1" l="1"/>
  <c r="C10" i="2"/>
  <c r="S10" i="2"/>
  <c r="AV10" i="2"/>
  <c r="O13" i="2"/>
  <c r="AE13" i="2"/>
  <c r="AH13" i="2" s="1"/>
  <c r="AU13" i="2"/>
  <c r="AX13" i="2" s="1"/>
  <c r="D10" i="2"/>
  <c r="G10" i="2"/>
  <c r="W10" i="2"/>
  <c r="Y10" i="2" s="1"/>
  <c r="Z10" i="2" s="1"/>
  <c r="AJ10" i="2"/>
  <c r="C11" i="2"/>
  <c r="AE11" i="2"/>
  <c r="C13" i="2"/>
  <c r="F13" i="2" s="1"/>
  <c r="S13" i="2"/>
  <c r="AI13" i="2"/>
  <c r="T19" i="2"/>
  <c r="Q10" i="2"/>
  <c r="R10" i="2" s="1"/>
  <c r="T10" i="2"/>
  <c r="AI10" i="2"/>
  <c r="AV13" i="2"/>
  <c r="AX15" i="2"/>
  <c r="X6" i="2"/>
  <c r="H10" i="2"/>
  <c r="I10" i="2" s="1"/>
  <c r="J10" i="2" s="1"/>
  <c r="X10" i="2"/>
  <c r="AM10" i="2"/>
  <c r="G11" i="2"/>
  <c r="I11" i="2" s="1"/>
  <c r="J11" i="2" s="1"/>
  <c r="AI11" i="2"/>
  <c r="D13" i="2"/>
  <c r="E13" i="2" s="1"/>
  <c r="T13" i="2"/>
  <c r="U13" i="2" s="1"/>
  <c r="V13" i="2" s="1"/>
  <c r="AJ13" i="2"/>
  <c r="U15" i="2"/>
  <c r="AK15" i="2"/>
  <c r="X19" i="2"/>
  <c r="AB6" i="2"/>
  <c r="K10" i="2"/>
  <c r="AA10" i="2"/>
  <c r="AY10" i="2" s="1"/>
  <c r="C16" i="1" s="1"/>
  <c r="AN10" i="2"/>
  <c r="AO10" i="2" s="1"/>
  <c r="AP10" i="2" s="1"/>
  <c r="G13" i="2"/>
  <c r="W13" i="2"/>
  <c r="AM13" i="2"/>
  <c r="P13" i="2"/>
  <c r="H16" i="1"/>
  <c r="L10" i="2"/>
  <c r="M10" i="2" s="1"/>
  <c r="N10" i="2" s="1"/>
  <c r="AB10" i="2"/>
  <c r="AC10" i="2" s="1"/>
  <c r="AD10" i="2" s="1"/>
  <c r="AQ10" i="2"/>
  <c r="K11" i="2"/>
  <c r="AU11" i="2"/>
  <c r="H13" i="2"/>
  <c r="X13" i="2"/>
  <c r="AN13" i="2"/>
  <c r="Z15" i="2"/>
  <c r="AF19" i="2"/>
  <c r="AF17" i="2" s="1"/>
  <c r="G10" i="1"/>
  <c r="O10" i="2"/>
  <c r="K13" i="2"/>
  <c r="AA13" i="2"/>
  <c r="Y15" i="2"/>
  <c r="AO15" i="2"/>
  <c r="AP15" i="2" s="1"/>
  <c r="D19" i="2"/>
  <c r="E19" i="2" s="1"/>
  <c r="AQ19" i="2"/>
  <c r="AT19" i="2" s="1"/>
  <c r="AA19" i="2"/>
  <c r="AD19" i="2" s="1"/>
  <c r="K19" i="2"/>
  <c r="N19" i="2" s="1"/>
  <c r="AM19" i="2"/>
  <c r="AP19" i="2" s="1"/>
  <c r="W19" i="2"/>
  <c r="Z19" i="2" s="1"/>
  <c r="G19" i="2"/>
  <c r="J19" i="2" s="1"/>
  <c r="AI19" i="2"/>
  <c r="AL19" i="2" s="1"/>
  <c r="S19" i="2"/>
  <c r="V19" i="2" s="1"/>
  <c r="C19" i="2"/>
  <c r="F19" i="2" s="1"/>
  <c r="AU19" i="2"/>
  <c r="AE19" i="2"/>
  <c r="AH19" i="2" s="1"/>
  <c r="O19" i="2"/>
  <c r="R19" i="2" s="1"/>
  <c r="AM8" i="2"/>
  <c r="AA8" i="2"/>
  <c r="AD8" i="2" s="1"/>
  <c r="O8" i="2"/>
  <c r="K8" i="2"/>
  <c r="N8" i="2" s="1"/>
  <c r="AI8" i="2"/>
  <c r="AL8" i="2" s="1"/>
  <c r="W8" i="2"/>
  <c r="AU8" i="2"/>
  <c r="G8" i="2"/>
  <c r="I8" i="2" s="1"/>
  <c r="J8" i="2" s="1"/>
  <c r="S8" i="2"/>
  <c r="V8" i="2" s="1"/>
  <c r="AQ8" i="2"/>
  <c r="AT8" i="2" s="1"/>
  <c r="AE8" i="2"/>
  <c r="C8" i="2"/>
  <c r="AG10" i="2"/>
  <c r="AH10" i="2" s="1"/>
  <c r="AB12" i="2"/>
  <c r="AK13" i="2"/>
  <c r="AY15" i="2"/>
  <c r="C20" i="1" s="1"/>
  <c r="Q15" i="2"/>
  <c r="R15" i="2" s="1"/>
  <c r="P18" i="2"/>
  <c r="P17" i="2" s="1"/>
  <c r="AV18" i="2"/>
  <c r="AV17" i="2" s="1"/>
  <c r="AQ21" i="2"/>
  <c r="AF12" i="2"/>
  <c r="G21" i="2"/>
  <c r="G20" i="2" s="1"/>
  <c r="AU21" i="2"/>
  <c r="AO19" i="2"/>
  <c r="AF6" i="2"/>
  <c r="AW10" i="2"/>
  <c r="AX10" i="2" s="1"/>
  <c r="D12" i="2"/>
  <c r="AJ12" i="2"/>
  <c r="AW15" i="2"/>
  <c r="X17" i="2"/>
  <c r="K21" i="2"/>
  <c r="H12" i="2"/>
  <c r="H9" i="2" s="1"/>
  <c r="AN12" i="2"/>
  <c r="I15" i="2"/>
  <c r="V15" i="2"/>
  <c r="AB18" i="2"/>
  <c r="AB17" i="2" s="1"/>
  <c r="O21" i="2"/>
  <c r="D6" i="2"/>
  <c r="AN6" i="2"/>
  <c r="L12" i="2"/>
  <c r="AR12" i="2"/>
  <c r="W21" i="2"/>
  <c r="W20" i="2" s="1"/>
  <c r="Z20" i="2" s="1"/>
  <c r="Y19" i="2"/>
  <c r="AA21" i="2"/>
  <c r="H18" i="1"/>
  <c r="T12" i="2"/>
  <c r="Q13" i="2"/>
  <c r="AG13" i="2"/>
  <c r="AW13" i="2"/>
  <c r="H17" i="2"/>
  <c r="AN17" i="2"/>
  <c r="AE21" i="2"/>
  <c r="AE20" i="2" s="1"/>
  <c r="AS15" i="2"/>
  <c r="M19" i="2"/>
  <c r="AC19" i="2"/>
  <c r="AS19" i="2"/>
  <c r="AU12" i="2"/>
  <c r="AM12" i="2"/>
  <c r="AE12" i="2"/>
  <c r="W12" i="2"/>
  <c r="O12" i="2"/>
  <c r="Q12" i="2" s="1"/>
  <c r="G12" i="2"/>
  <c r="AQ12" i="2"/>
  <c r="AI12" i="2"/>
  <c r="AK12" i="2" s="1"/>
  <c r="AA12" i="2"/>
  <c r="S12" i="2"/>
  <c r="K12" i="2"/>
  <c r="C12" i="2"/>
  <c r="Y13" i="2"/>
  <c r="Z13" i="2" s="1"/>
  <c r="AO13" i="2"/>
  <c r="AP13" i="2" s="1"/>
  <c r="AG15" i="2"/>
  <c r="AH15" i="2" s="1"/>
  <c r="Q19" i="2"/>
  <c r="AG19" i="2"/>
  <c r="AW19" i="2"/>
  <c r="AX19" i="2" s="1"/>
  <c r="AR11" i="2"/>
  <c r="AJ11" i="2"/>
  <c r="AK11" i="2" s="1"/>
  <c r="AL11" i="2" s="1"/>
  <c r="AB11" i="2"/>
  <c r="AC11" i="2" s="1"/>
  <c r="AD11" i="2" s="1"/>
  <c r="T11" i="2"/>
  <c r="U11" i="2" s="1"/>
  <c r="V11" i="2" s="1"/>
  <c r="L11" i="2"/>
  <c r="M11" i="2" s="1"/>
  <c r="N11" i="2" s="1"/>
  <c r="D11" i="2"/>
  <c r="D9" i="2" s="1"/>
  <c r="AQ11" i="2"/>
  <c r="AY11" i="2" s="1"/>
  <c r="AV11" i="2"/>
  <c r="AN11" i="2"/>
  <c r="AF11" i="2"/>
  <c r="X11" i="2"/>
  <c r="P11" i="2"/>
  <c r="AZ8" i="2"/>
  <c r="AS10" i="2"/>
  <c r="AT10" i="2" s="1"/>
  <c r="N13" i="2"/>
  <c r="M15" i="2"/>
  <c r="N15" i="2" s="1"/>
  <c r="AP21" i="2"/>
  <c r="S23" i="3"/>
  <c r="T12" i="3"/>
  <c r="AC8" i="2"/>
  <c r="AK8" i="2"/>
  <c r="M13" i="2"/>
  <c r="AC13" i="2"/>
  <c r="AD13" i="2" s="1"/>
  <c r="AS13" i="2"/>
  <c r="AT13" i="2" s="1"/>
  <c r="AT15" i="2"/>
  <c r="AR21" i="2"/>
  <c r="AJ21" i="2"/>
  <c r="AB21" i="2"/>
  <c r="T21" i="2"/>
  <c r="L21" i="2"/>
  <c r="D21" i="2"/>
  <c r="AV21" i="2"/>
  <c r="AN21" i="2"/>
  <c r="AF21" i="2"/>
  <c r="X21" i="2"/>
  <c r="P21" i="2"/>
  <c r="H21" i="2"/>
  <c r="E10" i="2"/>
  <c r="F10" i="2" s="1"/>
  <c r="U10" i="2"/>
  <c r="V10" i="2" s="1"/>
  <c r="R13" i="2"/>
  <c r="E15" i="2"/>
  <c r="AR16" i="2"/>
  <c r="AJ16" i="2"/>
  <c r="AB16" i="2"/>
  <c r="T16" i="2"/>
  <c r="L16" i="2"/>
  <c r="D16" i="2"/>
  <c r="AV16" i="2"/>
  <c r="AN16" i="2"/>
  <c r="AF16" i="2"/>
  <c r="X16" i="2"/>
  <c r="P16" i="2"/>
  <c r="H16" i="2"/>
  <c r="AZ7" i="2"/>
  <c r="F15" i="2"/>
  <c r="AL15" i="2"/>
  <c r="AQ16" i="2"/>
  <c r="AT16" i="2" s="1"/>
  <c r="AI16" i="2"/>
  <c r="AA16" i="2"/>
  <c r="S16" i="2"/>
  <c r="K16" i="2"/>
  <c r="N16" i="2" s="1"/>
  <c r="C16" i="2"/>
  <c r="AU16" i="2"/>
  <c r="AM16" i="2"/>
  <c r="AE16" i="2"/>
  <c r="AH16" i="2" s="1"/>
  <c r="W16" i="2"/>
  <c r="O16" i="2"/>
  <c r="G16" i="2"/>
  <c r="AL13" i="2"/>
  <c r="AD15" i="2"/>
  <c r="D17" i="2"/>
  <c r="T17" i="2"/>
  <c r="AJ17" i="2"/>
  <c r="C21" i="2"/>
  <c r="S21" i="2"/>
  <c r="AI21" i="2"/>
  <c r="AQ18" i="2"/>
  <c r="AS18" i="2" s="1"/>
  <c r="AI18" i="2"/>
  <c r="AA18" i="2"/>
  <c r="AC18" i="2" s="1"/>
  <c r="S18" i="2"/>
  <c r="K18" i="2"/>
  <c r="M18" i="2" s="1"/>
  <c r="C18" i="2"/>
  <c r="AU18" i="2"/>
  <c r="AM18" i="2"/>
  <c r="AE18" i="2"/>
  <c r="W18" i="2"/>
  <c r="O18" i="2"/>
  <c r="G18" i="2"/>
  <c r="AZ15" i="2"/>
  <c r="U8" i="2" l="1"/>
  <c r="AK10" i="2"/>
  <c r="AL10" i="2" s="1"/>
  <c r="AZ19" i="2"/>
  <c r="AZ13" i="2"/>
  <c r="AY13" i="2"/>
  <c r="AZ6" i="2"/>
  <c r="I13" i="2"/>
  <c r="J13" i="2" s="1"/>
  <c r="M8" i="2"/>
  <c r="AS11" i="2"/>
  <c r="AT11" i="2" s="1"/>
  <c r="AZ10" i="2"/>
  <c r="N21" i="2"/>
  <c r="K20" i="2"/>
  <c r="N20" i="2" s="1"/>
  <c r="AX21" i="2"/>
  <c r="AU20" i="2"/>
  <c r="AX20" i="2" s="1"/>
  <c r="AG8" i="2"/>
  <c r="AH8" i="2"/>
  <c r="Q8" i="2"/>
  <c r="R8" i="2"/>
  <c r="Q18" i="2"/>
  <c r="AK19" i="2"/>
  <c r="AZ12" i="2"/>
  <c r="AJ9" i="2"/>
  <c r="R21" i="2"/>
  <c r="O20" i="2"/>
  <c r="R20" i="2" s="1"/>
  <c r="AO8" i="2"/>
  <c r="AP8" i="2"/>
  <c r="U19" i="2"/>
  <c r="AS8" i="2"/>
  <c r="Z21" i="2"/>
  <c r="I12" i="2"/>
  <c r="AD21" i="2"/>
  <c r="AA20" i="2"/>
  <c r="AD20" i="2" s="1"/>
  <c r="E8" i="2"/>
  <c r="F8" i="2" s="1"/>
  <c r="AZ18" i="2"/>
  <c r="D22" i="1" s="1"/>
  <c r="AY19" i="2"/>
  <c r="AY8" i="2"/>
  <c r="BA8" i="2" s="1"/>
  <c r="BB8" i="2" s="1"/>
  <c r="I19" i="2"/>
  <c r="AW8" i="2"/>
  <c r="AX8" i="2"/>
  <c r="Y8" i="2"/>
  <c r="Z8" i="2"/>
  <c r="AT21" i="2"/>
  <c r="AQ20" i="2"/>
  <c r="AT20" i="2" s="1"/>
  <c r="M21" i="2"/>
  <c r="L20" i="2"/>
  <c r="V18" i="2"/>
  <c r="S17" i="2"/>
  <c r="V17" i="2" s="1"/>
  <c r="U18" i="2"/>
  <c r="AS16" i="2"/>
  <c r="AR14" i="2"/>
  <c r="AC21" i="2"/>
  <c r="AB20" i="2"/>
  <c r="C23" i="1"/>
  <c r="D15" i="1"/>
  <c r="Y11" i="2"/>
  <c r="Z11" i="2" s="1"/>
  <c r="X9" i="2"/>
  <c r="K9" i="2"/>
  <c r="M12" i="2"/>
  <c r="N12" i="2" s="1"/>
  <c r="AE9" i="2"/>
  <c r="Z18" i="2"/>
  <c r="W17" i="2"/>
  <c r="AU14" i="2"/>
  <c r="AX16" i="2"/>
  <c r="AK21" i="2"/>
  <c r="AJ20" i="2"/>
  <c r="Y18" i="2"/>
  <c r="AG11" i="2"/>
  <c r="AH11" i="2" s="1"/>
  <c r="AF9" i="2"/>
  <c r="S9" i="2"/>
  <c r="U12" i="2"/>
  <c r="V12" i="2" s="1"/>
  <c r="AO12" i="2"/>
  <c r="AP12" i="2" s="1"/>
  <c r="BA15" i="2"/>
  <c r="BB15" i="2" s="1"/>
  <c r="D20" i="1"/>
  <c r="AK16" i="2"/>
  <c r="AJ14" i="2"/>
  <c r="C5" i="1"/>
  <c r="G17" i="2"/>
  <c r="AF14" i="2"/>
  <c r="AG16" i="2"/>
  <c r="AV14" i="2"/>
  <c r="AW14" i="2" s="1"/>
  <c r="AW16" i="2"/>
  <c r="AH18" i="2"/>
  <c r="AE17" i="2"/>
  <c r="AY16" i="2"/>
  <c r="F16" i="2"/>
  <c r="C14" i="2"/>
  <c r="AG21" i="2"/>
  <c r="AH21" i="2" s="1"/>
  <c r="AF20" i="2"/>
  <c r="AG20" i="2" s="1"/>
  <c r="AH20" i="2" s="1"/>
  <c r="AS21" i="2"/>
  <c r="AR20" i="2"/>
  <c r="T23" i="3"/>
  <c r="AQ7" i="2"/>
  <c r="AI7" i="2"/>
  <c r="AA7" i="2"/>
  <c r="S7" i="2"/>
  <c r="K7" i="2"/>
  <c r="C7" i="2"/>
  <c r="W7" i="2"/>
  <c r="AM7" i="2"/>
  <c r="O7" i="2"/>
  <c r="AE7" i="2"/>
  <c r="G7" i="2"/>
  <c r="AU7" i="2"/>
  <c r="I18" i="2"/>
  <c r="J18" i="2" s="1"/>
  <c r="AN9" i="2"/>
  <c r="AO11" i="2"/>
  <c r="AP11" i="2" s="1"/>
  <c r="C15" i="1"/>
  <c r="AA9" i="2"/>
  <c r="AC12" i="2"/>
  <c r="AD12" i="2" s="1"/>
  <c r="AU9" i="2"/>
  <c r="AM9" i="2"/>
  <c r="AG12" i="2"/>
  <c r="AH12" i="2" s="1"/>
  <c r="W14" i="2"/>
  <c r="R12" i="2"/>
  <c r="O9" i="2"/>
  <c r="E9" i="2"/>
  <c r="C19" i="1"/>
  <c r="U21" i="2"/>
  <c r="T20" i="2"/>
  <c r="W9" i="2"/>
  <c r="AD18" i="2"/>
  <c r="AA17" i="2"/>
  <c r="AO16" i="2"/>
  <c r="AN14" i="2"/>
  <c r="AL18" i="2"/>
  <c r="AI17" i="2"/>
  <c r="AL17" i="2" s="1"/>
  <c r="AK18" i="2"/>
  <c r="C17" i="1"/>
  <c r="AT18" i="2"/>
  <c r="AQ17" i="2"/>
  <c r="AZ16" i="2"/>
  <c r="E16" i="2"/>
  <c r="D14" i="2"/>
  <c r="AP18" i="2"/>
  <c r="AM17" i="2"/>
  <c r="AO18" i="2"/>
  <c r="AI20" i="2"/>
  <c r="AL20" i="2" s="1"/>
  <c r="AL21" i="2"/>
  <c r="BA13" i="2"/>
  <c r="BB13" i="2" s="1"/>
  <c r="D19" i="1"/>
  <c r="D14" i="1"/>
  <c r="M16" i="2"/>
  <c r="L14" i="2"/>
  <c r="AO21" i="2"/>
  <c r="AN20" i="2"/>
  <c r="AO20" i="2" s="1"/>
  <c r="BA19" i="2"/>
  <c r="BB19" i="2" s="1"/>
  <c r="D23" i="1"/>
  <c r="AW11" i="2"/>
  <c r="AX11" i="2" s="1"/>
  <c r="AV9" i="2"/>
  <c r="AL12" i="2"/>
  <c r="AW12" i="2"/>
  <c r="AX12" i="2" s="1"/>
  <c r="AI9" i="2"/>
  <c r="N18" i="2"/>
  <c r="K17" i="2"/>
  <c r="Y16" i="2"/>
  <c r="Z16" i="2" s="1"/>
  <c r="X14" i="2"/>
  <c r="AK17" i="2"/>
  <c r="I21" i="2"/>
  <c r="J21" i="2" s="1"/>
  <c r="H20" i="2"/>
  <c r="I20" i="2" s="1"/>
  <c r="J20" i="2" s="1"/>
  <c r="Q11" i="2"/>
  <c r="R11" i="2" s="1"/>
  <c r="P9" i="2"/>
  <c r="AY12" i="2"/>
  <c r="BA12" i="2" s="1"/>
  <c r="C9" i="2"/>
  <c r="R18" i="2"/>
  <c r="O17" i="2"/>
  <c r="Q21" i="2"/>
  <c r="P20" i="2"/>
  <c r="Q20" i="2" s="1"/>
  <c r="AZ17" i="2"/>
  <c r="S20" i="2"/>
  <c r="V20" i="2" s="1"/>
  <c r="V21" i="2"/>
  <c r="J16" i="2"/>
  <c r="G14" i="2"/>
  <c r="J14" i="2" s="1"/>
  <c r="I16" i="2"/>
  <c r="H14" i="2"/>
  <c r="AQ14" i="2"/>
  <c r="AW21" i="2"/>
  <c r="AV20" i="2"/>
  <c r="D18" i="1"/>
  <c r="L9" i="2"/>
  <c r="AT12" i="2"/>
  <c r="AS12" i="2"/>
  <c r="Y12" i="2"/>
  <c r="Z12" i="2" s="1"/>
  <c r="T9" i="2"/>
  <c r="AR9" i="2"/>
  <c r="K14" i="2"/>
  <c r="AB9" i="2"/>
  <c r="AL16" i="2"/>
  <c r="AI14" i="2"/>
  <c r="AE14" i="2"/>
  <c r="AP16" i="2"/>
  <c r="AM14" i="2"/>
  <c r="Y21" i="2"/>
  <c r="X20" i="2"/>
  <c r="Y20" i="2" s="1"/>
  <c r="AX18" i="2"/>
  <c r="AU17" i="2"/>
  <c r="AW18" i="2"/>
  <c r="S14" i="2"/>
  <c r="U16" i="2"/>
  <c r="V16" i="2" s="1"/>
  <c r="T14" i="2"/>
  <c r="AY18" i="2"/>
  <c r="F18" i="2"/>
  <c r="C17" i="2"/>
  <c r="E18" i="2"/>
  <c r="AY21" i="2"/>
  <c r="C20" i="2"/>
  <c r="F21" i="2"/>
  <c r="AG18" i="2"/>
  <c r="O14" i="2"/>
  <c r="R16" i="2"/>
  <c r="P14" i="2"/>
  <c r="Q16" i="2"/>
  <c r="AC16" i="2"/>
  <c r="AD16" i="2" s="1"/>
  <c r="AB14" i="2"/>
  <c r="AA14" i="2"/>
  <c r="E21" i="2"/>
  <c r="AZ21" i="2"/>
  <c r="D20" i="2"/>
  <c r="AZ11" i="2"/>
  <c r="E11" i="2"/>
  <c r="F11" i="2" s="1"/>
  <c r="J12" i="2"/>
  <c r="G9" i="2"/>
  <c r="I9" i="2" s="1"/>
  <c r="AQ9" i="2"/>
  <c r="E12" i="2"/>
  <c r="F12" i="2" s="1"/>
  <c r="M14" i="2" l="1"/>
  <c r="M20" i="2"/>
  <c r="Y14" i="2"/>
  <c r="D16" i="1"/>
  <c r="BA10" i="2"/>
  <c r="BB10" i="2" s="1"/>
  <c r="U14" i="2"/>
  <c r="V14" i="2" s="1"/>
  <c r="AW20" i="2"/>
  <c r="AS20" i="2"/>
  <c r="AC20" i="2"/>
  <c r="BA18" i="2"/>
  <c r="E19" i="1"/>
  <c r="AY17" i="2"/>
  <c r="BA17" i="2" s="1"/>
  <c r="F17" i="2"/>
  <c r="I14" i="2"/>
  <c r="H24" i="2"/>
  <c r="BA21" i="2"/>
  <c r="D24" i="1"/>
  <c r="R17" i="2"/>
  <c r="Q17" i="2"/>
  <c r="N7" i="2"/>
  <c r="K6" i="2"/>
  <c r="M7" i="2"/>
  <c r="AX14" i="2"/>
  <c r="E20" i="2"/>
  <c r="AZ20" i="2"/>
  <c r="G23" i="1"/>
  <c r="N14" i="2"/>
  <c r="AX7" i="2"/>
  <c r="AU6" i="2"/>
  <c r="AW7" i="2"/>
  <c r="V7" i="2"/>
  <c r="S6" i="2"/>
  <c r="U7" i="2"/>
  <c r="AK9" i="2"/>
  <c r="AL9" i="2" s="1"/>
  <c r="AK14" i="2"/>
  <c r="Z17" i="2"/>
  <c r="Y17" i="2"/>
  <c r="AX17" i="2"/>
  <c r="AW17" i="2"/>
  <c r="C6" i="2"/>
  <c r="AY7" i="2"/>
  <c r="E7" i="2"/>
  <c r="F7" i="2" s="1"/>
  <c r="AC14" i="2"/>
  <c r="AD14" i="2" s="1"/>
  <c r="AS9" i="2"/>
  <c r="AT9" i="2" s="1"/>
  <c r="AR24" i="2"/>
  <c r="AY9" i="2"/>
  <c r="F9" i="2"/>
  <c r="AW9" i="2"/>
  <c r="AV24" i="2"/>
  <c r="J7" i="2"/>
  <c r="G6" i="2"/>
  <c r="I7" i="2"/>
  <c r="AD7" i="2"/>
  <c r="AA6" i="2"/>
  <c r="AC7" i="2"/>
  <c r="F14" i="2"/>
  <c r="AY14" i="2"/>
  <c r="AG9" i="2"/>
  <c r="AF24" i="2"/>
  <c r="AT17" i="2"/>
  <c r="AS17" i="2"/>
  <c r="Z7" i="2"/>
  <c r="W6" i="2"/>
  <c r="Y7" i="2"/>
  <c r="AH9" i="2"/>
  <c r="M9" i="2"/>
  <c r="N9" i="2" s="1"/>
  <c r="L24" i="2"/>
  <c r="AZ9" i="2"/>
  <c r="AC9" i="2"/>
  <c r="AD9" i="2" s="1"/>
  <c r="AB24" i="2"/>
  <c r="J9" i="2"/>
  <c r="F20" i="2"/>
  <c r="AY20" i="2"/>
  <c r="U9" i="2"/>
  <c r="V9" i="2" s="1"/>
  <c r="T24" i="2"/>
  <c r="BB12" i="2"/>
  <c r="C18" i="1"/>
  <c r="E14" i="2"/>
  <c r="AZ14" i="2"/>
  <c r="U20" i="2"/>
  <c r="Z14" i="2"/>
  <c r="AH7" i="2"/>
  <c r="AE6" i="2"/>
  <c r="AG7" i="2"/>
  <c r="AL7" i="2"/>
  <c r="AI6" i="2"/>
  <c r="AK7" i="2"/>
  <c r="AG14" i="2"/>
  <c r="AH14" i="2" s="1"/>
  <c r="E20" i="1"/>
  <c r="F20" i="1" s="1"/>
  <c r="G20" i="1"/>
  <c r="U17" i="2"/>
  <c r="Y9" i="2"/>
  <c r="Z9" i="2" s="1"/>
  <c r="X24" i="2"/>
  <c r="AS14" i="2"/>
  <c r="AT14" i="2" s="1"/>
  <c r="AX9" i="2"/>
  <c r="AP17" i="2"/>
  <c r="AO17" i="2"/>
  <c r="C24" i="1"/>
  <c r="BB21" i="2"/>
  <c r="E17" i="2"/>
  <c r="N17" i="2"/>
  <c r="M17" i="2"/>
  <c r="E23" i="1"/>
  <c r="F23" i="1" s="1"/>
  <c r="R7" i="2"/>
  <c r="O6" i="2"/>
  <c r="Q7" i="2"/>
  <c r="AT7" i="2"/>
  <c r="AQ6" i="2"/>
  <c r="AS7" i="2"/>
  <c r="C21" i="1"/>
  <c r="I17" i="2"/>
  <c r="J17" i="2" s="1"/>
  <c r="D24" i="2"/>
  <c r="AD17" i="2"/>
  <c r="AC17" i="2"/>
  <c r="AO9" i="2"/>
  <c r="AP9" i="2" s="1"/>
  <c r="AN24" i="2"/>
  <c r="BB18" i="2"/>
  <c r="C22" i="1"/>
  <c r="E22" i="1" s="1"/>
  <c r="BA11" i="2"/>
  <c r="BB11" i="2" s="1"/>
  <c r="D17" i="1"/>
  <c r="E17" i="1" s="1"/>
  <c r="F17" i="1" s="1"/>
  <c r="Q14" i="2"/>
  <c r="R14" i="2" s="1"/>
  <c r="AL14" i="2"/>
  <c r="C8" i="1"/>
  <c r="Q9" i="2"/>
  <c r="R9" i="2" s="1"/>
  <c r="P24" i="2"/>
  <c r="D21" i="1"/>
  <c r="BA16" i="2"/>
  <c r="BB16" i="2" s="1"/>
  <c r="AO14" i="2"/>
  <c r="AP14" i="2" s="1"/>
  <c r="G19" i="1"/>
  <c r="F19" i="1"/>
  <c r="G15" i="1"/>
  <c r="AP7" i="2"/>
  <c r="AM6" i="2"/>
  <c r="AO7" i="2"/>
  <c r="AH17" i="2"/>
  <c r="AG17" i="2"/>
  <c r="AK20" i="2"/>
  <c r="E15" i="1"/>
  <c r="F15" i="1" s="1"/>
  <c r="AJ24" i="2"/>
  <c r="G16" i="1" l="1"/>
  <c r="E16" i="1"/>
  <c r="F16" i="1" s="1"/>
  <c r="E21" i="1"/>
  <c r="F21" i="1" s="1"/>
  <c r="AQ23" i="2"/>
  <c r="AS25" i="2" s="1"/>
  <c r="AT6" i="2"/>
  <c r="AS6" i="2"/>
  <c r="B6" i="1"/>
  <c r="BA9" i="2"/>
  <c r="BB9" i="2" s="1"/>
  <c r="C6" i="1"/>
  <c r="AZ24" i="2"/>
  <c r="C39" i="1"/>
  <c r="C14" i="1"/>
  <c r="BA7" i="2"/>
  <c r="BB7" i="2" s="1"/>
  <c r="AI23" i="2"/>
  <c r="AL6" i="2"/>
  <c r="AK6" i="2"/>
  <c r="B9" i="1"/>
  <c r="C31" i="1"/>
  <c r="C36" i="1"/>
  <c r="G23" i="2"/>
  <c r="I25" i="2" s="1"/>
  <c r="I6" i="2"/>
  <c r="J6" i="2" s="1"/>
  <c r="AY6" i="2"/>
  <c r="C23" i="2"/>
  <c r="E6" i="2"/>
  <c r="F6" i="2" s="1"/>
  <c r="E24" i="1"/>
  <c r="F24" i="1" s="1"/>
  <c r="C32" i="1"/>
  <c r="R6" i="2"/>
  <c r="O23" i="2"/>
  <c r="Q25" i="2" s="1"/>
  <c r="Q6" i="2"/>
  <c r="G24" i="1"/>
  <c r="C34" i="1"/>
  <c r="D25" i="1"/>
  <c r="C29" i="1"/>
  <c r="G22" i="1"/>
  <c r="F22" i="1"/>
  <c r="BB14" i="2"/>
  <c r="B7" i="1"/>
  <c r="S23" i="2"/>
  <c r="V6" i="2"/>
  <c r="U6" i="2"/>
  <c r="K23" i="2"/>
  <c r="M25" i="2" s="1"/>
  <c r="N6" i="2"/>
  <c r="M6" i="2"/>
  <c r="C30" i="1"/>
  <c r="G21" i="1"/>
  <c r="AH6" i="2"/>
  <c r="AE23" i="2"/>
  <c r="AG25" i="2" s="1"/>
  <c r="AG6" i="2"/>
  <c r="BA14" i="2"/>
  <c r="C7" i="1"/>
  <c r="AK25" i="2"/>
  <c r="C37" i="1"/>
  <c r="G18" i="1"/>
  <c r="C40" i="1"/>
  <c r="C38" i="1"/>
  <c r="C35" i="1"/>
  <c r="W23" i="2"/>
  <c r="Z6" i="2"/>
  <c r="Y6" i="2"/>
  <c r="E18" i="1"/>
  <c r="F18" i="1" s="1"/>
  <c r="G17" i="1"/>
  <c r="AM23" i="2"/>
  <c r="AP6" i="2"/>
  <c r="AO6" i="2"/>
  <c r="C33" i="1"/>
  <c r="AA23" i="2"/>
  <c r="AC25" i="2" s="1"/>
  <c r="AD6" i="2"/>
  <c r="AC6" i="2"/>
  <c r="AU23" i="2"/>
  <c r="AX6" i="2"/>
  <c r="AW6" i="2"/>
  <c r="BA20" i="2"/>
  <c r="BB20" i="2" s="1"/>
  <c r="C9" i="1"/>
  <c r="D9" i="1" s="1"/>
  <c r="BB17" i="2"/>
  <c r="B8" i="1"/>
  <c r="D8" i="1" s="1"/>
  <c r="D6" i="1" l="1"/>
  <c r="C10" i="1"/>
  <c r="AX27" i="2"/>
  <c r="B40" i="1"/>
  <c r="D37" i="1"/>
  <c r="D7" i="1"/>
  <c r="E7" i="1" s="1"/>
  <c r="B29" i="1"/>
  <c r="D29" i="1" s="1"/>
  <c r="F27" i="2"/>
  <c r="C25" i="1"/>
  <c r="F14" i="1"/>
  <c r="G14" i="1"/>
  <c r="E14" i="1"/>
  <c r="E25" i="1" s="1"/>
  <c r="Z27" i="2"/>
  <c r="Z26" i="2"/>
  <c r="B34" i="1"/>
  <c r="D34" i="1" s="1"/>
  <c r="V27" i="2"/>
  <c r="B33" i="1"/>
  <c r="Y25" i="2"/>
  <c r="AL27" i="2"/>
  <c r="B37" i="1"/>
  <c r="AL26" i="2"/>
  <c r="AD26" i="2"/>
  <c r="AD27" i="2"/>
  <c r="B35" i="1"/>
  <c r="G25" i="1"/>
  <c r="AP27" i="2"/>
  <c r="B38" i="1"/>
  <c r="F6" i="1"/>
  <c r="E6" i="1"/>
  <c r="AW25" i="2"/>
  <c r="AX26" i="2" s="1"/>
  <c r="AH26" i="2"/>
  <c r="B36" i="1"/>
  <c r="AH27" i="2"/>
  <c r="N27" i="2"/>
  <c r="N26" i="2"/>
  <c r="B31" i="1"/>
  <c r="D31" i="1" s="1"/>
  <c r="C41" i="1"/>
  <c r="R26" i="2"/>
  <c r="R27" i="2"/>
  <c r="B32" i="1"/>
  <c r="AY23" i="2"/>
  <c r="B5" i="1"/>
  <c r="BA6" i="2"/>
  <c r="BB6" i="2" s="1"/>
  <c r="F9" i="1"/>
  <c r="E9" i="1"/>
  <c r="J27" i="2"/>
  <c r="J26" i="2"/>
  <c r="B30" i="1"/>
  <c r="F7" i="1"/>
  <c r="D38" i="1"/>
  <c r="F8" i="1"/>
  <c r="E8" i="1"/>
  <c r="AO25" i="2"/>
  <c r="AP26" i="2" s="1"/>
  <c r="U25" i="2"/>
  <c r="V26" i="2" s="1"/>
  <c r="E25" i="2"/>
  <c r="F26" i="2" s="1"/>
  <c r="AT27" i="2"/>
  <c r="AT26" i="2"/>
  <c r="B39" i="1"/>
  <c r="D39" i="1" s="1"/>
  <c r="B45" i="1" l="1"/>
  <c r="B44" i="1"/>
  <c r="F5" i="1"/>
  <c r="B10" i="1"/>
  <c r="F10" i="1" s="1"/>
  <c r="D5" i="1"/>
  <c r="D10" i="1" s="1"/>
  <c r="E10" i="1" s="1"/>
  <c r="D40" i="1"/>
  <c r="E40" i="1" s="1"/>
  <c r="E29" i="1"/>
  <c r="B41" i="1"/>
  <c r="D35" i="1"/>
  <c r="E35" i="1" s="1"/>
  <c r="E31" i="1"/>
  <c r="E37" i="1"/>
  <c r="D33" i="1"/>
  <c r="E33" i="1" s="1"/>
  <c r="E38" i="1"/>
  <c r="E39" i="1"/>
  <c r="F25" i="1"/>
  <c r="E34" i="1"/>
  <c r="C29" i="2"/>
  <c r="BB27" i="2"/>
  <c r="D32" i="1"/>
  <c r="E32" i="1" s="1"/>
  <c r="D30" i="1"/>
  <c r="D36" i="1"/>
  <c r="E36" i="1" s="1"/>
  <c r="BA25" i="2"/>
  <c r="BB26" i="2" s="1"/>
  <c r="D41" i="1" l="1"/>
  <c r="E41" i="1" s="1"/>
  <c r="E30" i="1"/>
  <c r="E5" i="1"/>
  <c r="B43" i="1"/>
</calcChain>
</file>

<file path=xl/sharedStrings.xml><?xml version="1.0" encoding="utf-8"?>
<sst xmlns="http://schemas.openxmlformats.org/spreadsheetml/2006/main" count="212" uniqueCount="101">
  <si>
    <t>RESUMEN EJECUTIVO — COSTO / BENEFICIO DE MARKETING 2027 (PLAN AJUSTADO)</t>
  </si>
  <si>
    <t>1. Por área</t>
  </si>
  <si>
    <t>Área</t>
  </si>
  <si>
    <t>Costo anual</t>
  </si>
  <si>
    <t>Ingreso anual</t>
  </si>
  <si>
    <t>Beneficio neto</t>
  </si>
  <si>
    <t>ROI (%)</t>
  </si>
  <si>
    <t>ROI (x)</t>
  </si>
  <si>
    <t>N.º campañas</t>
  </si>
  <si>
    <t>LANZAMIENTO</t>
  </si>
  <si>
    <t>PUBLICIDAD DIGITAL</t>
  </si>
  <si>
    <t>DELIVERY Y FIDELIZACIÓN</t>
  </si>
  <si>
    <t>FECHAS ESPECIALES</t>
  </si>
  <si>
    <t>COMUNIDAD Y ALIANZAS</t>
  </si>
  <si>
    <t>TOTAL GENERAL</t>
  </si>
  <si>
    <t>2. Por campaña (anual)</t>
  </si>
  <si>
    <t>Campaña</t>
  </si>
  <si>
    <t>Meses activos</t>
  </si>
  <si>
    <t>Fechas</t>
  </si>
  <si>
    <t>TOTAL</t>
  </si>
  <si>
    <t>3. Por mes</t>
  </si>
  <si>
    <t>Mes</t>
  </si>
  <si>
    <t>Costo</t>
  </si>
  <si>
    <t>Ingreso</t>
  </si>
  <si>
    <t>N.º campañas activas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</si>
  <si>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</si>
  <si>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</si>
  <si>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</si>
  <si>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</si>
  <si>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</si>
  <si>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</si>
  <si>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</si>
  <si>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</si>
  <si>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</si>
  <si>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</si>
  <si>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</si>
  <si>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</si>
  <si>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Mejor mes (beneficio neto):</t>
  </si>
  <si>
    <t>Campaña con mayor ROI:</t>
  </si>
  <si>
    <t>Campaña con menor ROI:</t>
  </si>
  <si>
    <t>DÖNER STREET — PLAN DE COSTO / BENEFICIO DE MARKETING 2027 POR CAMPAÑA Y MES (FORECAST)</t>
  </si>
  <si>
    <t>TOTAL ANUAL</t>
  </si>
  <si>
    <t>Costo
(inversión)</t>
  </si>
  <si>
    <t>Ingreso
(forecast)</t>
  </si>
  <si>
    <t>Beneficio
neto</t>
  </si>
  <si>
    <t>ROI</t>
  </si>
  <si>
    <t>LANZAMIENTO — Total</t>
  </si>
  <si>
    <t>PUBLICIDAD DIGITAL — Total</t>
  </si>
  <si>
    <t>DELIVERY Y FIDELIZACIÓN — Total</t>
  </si>
  <si>
    <t>FECHAS ESPECIALES — Total</t>
  </si>
  <si>
    <t>COMUNIDAD Y ALIANZAS — Total</t>
  </si>
  <si>
    <t>TOTAL COSTO MARKETING (INVERSIÓN)</t>
  </si>
  <si>
    <t>TOTAL INGRESO (FORECAST)</t>
  </si>
  <si>
    <t>TOTAL BENEFICIO NETO</t>
  </si>
  <si>
    <t>ROI DEL MES</t>
  </si>
  <si>
    <t>MÚLTIPLO INGRESO / COSTO (x)</t>
  </si>
  <si>
    <t>Control vs. Supuestos:</t>
  </si>
  <si>
    <t>SUPUESTOS Y PRESUPUESTO DE MARKETING — DÖNER STREET 2027 (PLAN AJUSTADO, 11 CAMPAÑAS)</t>
  </si>
  <si>
    <t>Índice de estacionalidad mensual (multiplicador de demanda esperado)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</si>
  <si>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</si>
  <si>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</si>
  <si>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</si>
  <si>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</si>
  <si>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</si>
  <si>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</si>
  <si>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</si>
  <si>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</si>
  <si>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</si>
  <si>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</si>
  <si>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</si>
  <si>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</si>
  <si>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Índice</t>
  </si>
  <si>
    <t>Presupuesto y supuestos por campaña</t>
  </si>
  <si>
    <t>Inversión en medios (COP)</t>
  </si>
  <si>
    <t>ROAS esperado (x)</t>
  </si>
  <si>
    <t>Agencia (1/0)</t>
  </si>
  <si>
    <t>Honorario (COP)</t>
  </si>
  <si>
    <t>Costo total (COP)</t>
  </si>
  <si>
    <t>Fechas (plan 2027)</t>
  </si>
  <si>
    <t>Prensa y Redes (Teaser + PR + Promo apertura)</t>
  </si>
  <si>
    <t>4-25 ene</t>
  </si>
  <si>
    <t>Volantes, degustaciones y garantía de satisfacción</t>
  </si>
  <si>
    <t>18 ene-1 feb</t>
  </si>
  <si>
    <t>Contenido orgánico IG/TikTok/Facebook</t>
  </si>
  <si>
    <t>4 ene-31 dic</t>
  </si>
  <si>
    <t>Google Business Profile (SEO local)</t>
  </si>
  <si>
    <t>Meta Ads pagado (geo-segmentado)</t>
  </si>
  <si>
    <t>18 ene-31 dic</t>
  </si>
  <si>
    <t>QR en empaques/recibos + referidos</t>
  </si>
  <si>
    <t>15 feb-31 dic</t>
  </si>
  <si>
    <t>Almuerzos corporativos (pedidos por WhatsApp)</t>
  </si>
  <si>
    <t>15 mar-31 dic</t>
  </si>
  <si>
    <t>Refiere y gana (papas gratis)</t>
  </si>
  <si>
    <t>12 abr-5 jul</t>
  </si>
  <si>
    <t>San Valentín (Comparte un Döner)</t>
  </si>
  <si>
    <t>8-15 feb</t>
  </si>
  <si>
    <t>Navidad y fin de año (Party Pack)</t>
  </si>
  <si>
    <t>13-27 dic</t>
  </si>
  <si>
    <t>Semana de bienvenida universitaria</t>
  </si>
  <si>
    <t>1-8 feb y 2-9 ago</t>
  </si>
  <si>
    <t>Presupuesto anual de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</si>
</sst>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&quot;($&quot;#,##0\);\-"/>
    <numFmt numFmtId="165" formatCode="0.0%;\-0.0%;\-"/>
    <numFmt numFmtId="166" formatCode="0.00\x;\-0.00\x;\-"/>
    <numFmt numFmtId="167" formatCode="0.0\x"/>
  </numFmts>
  <fonts count="1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sz val="10"/>
      <color theme="5" tint="-0.249977111117893"/>
      <name val="Arial"/>
      <family val="2"/>
    </font>
    <font>
      <sz val="11"/>
      <name val="Calibri"/>
      <family val="2"/>
      <charset val="1"/>
    </font>
    <font>
      <b/>
      <sz val="10"/>
      <color rgb="FF4F622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FF99CC"/>
      </patternFill>
    </fill>
    <fill>
      <patternFill patternType="solid">
        <fgColor rgb="FF4F6228"/>
        <bgColor rgb="FF333333"/>
      </patternFill>
    </fill>
    <fill>
      <patternFill patternType="solid">
        <fgColor theme="6" tint="0.39997558519241921"/>
        <bgColor rgb="FF9999FF"/>
      </patternFill>
    </fill>
    <fill>
      <patternFill patternType="solid">
        <fgColor rgb="FFFFFF99"/>
        <bgColor rgb="FFFFFF00"/>
      </patternFill>
    </fill>
    <fill>
      <patternFill patternType="solid">
        <fgColor rgb="FF4F6228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Font="1" applyBorder="1"/>
    <xf numFmtId="164" fontId="4" fillId="0" borderId="1" xfId="0" applyNumberFormat="1" applyFont="1" applyBorder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3" fillId="2" borderId="1" xfId="0" applyFont="1" applyFill="1" applyBorder="1"/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164" fontId="3" fillId="2" borderId="0" xfId="0" applyNumberFormat="1" applyFont="1" applyFill="1"/>
    <xf numFmtId="165" fontId="3" fillId="2" borderId="0" xfId="0" applyNumberFormat="1" applyFont="1" applyFill="1"/>
    <xf numFmtId="166" fontId="3" fillId="2" borderId="0" xfId="0" applyNumberFormat="1" applyFont="1" applyFill="1"/>
    <xf numFmtId="0" fontId="5" fillId="0" borderId="0" xfId="0" applyFont="1"/>
    <xf numFmtId="0" fontId="6" fillId="0" borderId="0" xfId="0" applyFont="1"/>
    <xf numFmtId="0" fontId="5" fillId="3" borderId="1" xfId="0" applyFont="1" applyFill="1" applyBorder="1"/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8" fillId="0" borderId="0" xfId="0" applyFont="1"/>
    <xf numFmtId="0" fontId="0" fillId="0" borderId="0" xfId="0" applyFont="1"/>
    <xf numFmtId="0" fontId="5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64" fontId="9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0" xfId="0" applyFont="1" applyFill="1"/>
    <xf numFmtId="0" fontId="7" fillId="5" borderId="1" xfId="0" applyFont="1" applyFill="1" applyBorder="1" applyAlignment="1">
      <alignment horizontal="center" vertical="center" wrapText="1"/>
    </xf>
    <xf numFmtId="0" fontId="10" fillId="0" borderId="1" xfId="0" applyFont="1" applyBorder="1"/>
    <xf numFmtId="164" fontId="1" fillId="0" borderId="1" xfId="0" applyNumberFormat="1" applyFont="1" applyBorder="1"/>
    <xf numFmtId="167" fontId="1" fillId="0" borderId="1" xfId="0" applyNumberFormat="1" applyFont="1" applyBorder="1"/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/>
    <xf numFmtId="2" fontId="1" fillId="0" borderId="0" xfId="0" applyNumberFormat="1" applyFont="1" applyAlignment="1">
      <alignment horizontal="center" vertical="center" wrapText="1"/>
    </xf>
    <xf numFmtId="164" fontId="1" fillId="6" borderId="0" xfId="0" applyNumberFormat="1" applyFont="1" applyFill="1"/>
    <xf numFmtId="0" fontId="0" fillId="4" borderId="0" xfId="0" applyFill="1"/>
    <xf numFmtId="0" fontId="0" fillId="7" borderId="0" xfId="0" applyFill="1"/>
    <xf numFmtId="0" fontId="0" fillId="0" borderId="0" xfId="0" applyFill="1"/>
    <xf numFmtId="165" fontId="10" fillId="0" borderId="1" xfId="0" applyNumberFormat="1" applyFont="1" applyBorder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4F81BD"/>
      <rgbColor rgb="FF8EA9C1"/>
      <rgbColor rgb="FF20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F622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Costo vs. ingreso por mes (COP)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Ejecutivo'!$B$28</c:f>
              <c:strCache>
                <c:ptCount val="1"/>
                <c:pt idx="0">
                  <c:v>Costo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Ejecutivo'!$A$29:$A$40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'Resumen Ejecutivo'!$B$29:$B$40</c:f>
              <c:numCache>
                <c:formatCode>\$#,##0;"($"#,##0\);\-</c:formatCode>
                <c:ptCount val="12"/>
                <c:pt idx="0">
                  <c:v>8850000</c:v>
                </c:pt>
                <c:pt idx="1">
                  <c:v>10077272.727272727</c:v>
                </c:pt>
                <c:pt idx="2">
                  <c:v>4177272.7272727275</c:v>
                </c:pt>
                <c:pt idx="3">
                  <c:v>4677272.7272727275</c:v>
                </c:pt>
                <c:pt idx="4">
                  <c:v>4677272.7272727275</c:v>
                </c:pt>
                <c:pt idx="5">
                  <c:v>4677272.7272727275</c:v>
                </c:pt>
                <c:pt idx="6">
                  <c:v>4677272.7272727275</c:v>
                </c:pt>
                <c:pt idx="7">
                  <c:v>5177272.7272727275</c:v>
                </c:pt>
                <c:pt idx="8">
                  <c:v>4177272.7272727275</c:v>
                </c:pt>
                <c:pt idx="9">
                  <c:v>4177272.7272727275</c:v>
                </c:pt>
                <c:pt idx="10">
                  <c:v>4177272.7272727275</c:v>
                </c:pt>
                <c:pt idx="11">
                  <c:v>9477272.7272727266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8E-4997-93B1-DC2BFC081877}"/>
            </c:ext>
          </c:extLst>
        </c:ser>
        <c:ser>
          <c:idx val="1"/>
          <c:order val="1"/>
          <c:tx>
            <c:strRef>
              <c:f>'Resumen Ejecutivo'!$C$28</c:f>
              <c:strCache>
                <c:ptCount val="1"/>
                <c:pt idx="0">
                  <c:v>Ingreso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Ejecutivo'!$A$29:$A$40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'Resumen Ejecutivo'!$C$29:$C$40</c:f>
              <c:numCache>
                <c:formatCode>\$#,##0;"($"#,##0\);\-</c:formatCode>
                <c:ptCount val="12"/>
                <c:pt idx="0">
                  <c:v>27720000</c:v>
                </c:pt>
                <c:pt idx="1">
                  <c:v>35346818.18181818</c:v>
                </c:pt>
                <c:pt idx="2">
                  <c:v>14324727.272727273</c:v>
                </c:pt>
                <c:pt idx="3">
                  <c:v>15441409.090909092</c:v>
                </c:pt>
                <c:pt idx="4">
                  <c:v>19074681.81818182</c:v>
                </c:pt>
                <c:pt idx="5">
                  <c:v>17258045.454545453</c:v>
                </c:pt>
                <c:pt idx="6">
                  <c:v>18166363.636363637</c:v>
                </c:pt>
                <c:pt idx="7">
                  <c:v>19862181.81818182</c:v>
                </c:pt>
                <c:pt idx="8">
                  <c:v>17508000</c:v>
                </c:pt>
                <c:pt idx="9">
                  <c:v>17508000</c:v>
                </c:pt>
                <c:pt idx="10">
                  <c:v>18303818.18181818</c:v>
                </c:pt>
                <c:pt idx="11">
                  <c:v>43441272.727272727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8E-4997-93B1-DC2BFC081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60273"/>
        <c:axId val="80703879"/>
      </c:barChart>
      <c:catAx>
        <c:axId val="416602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80703879"/>
        <c:crosses val="autoZero"/>
        <c:auto val="1"/>
        <c:lblAlgn val="ctr"/>
        <c:lblOffset val="100"/>
        <c:noMultiLvlLbl val="0"/>
      </c:catAx>
      <c:valAx>
        <c:axId val="807038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416602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ROI por campaña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'Resumen Ejecutivo'!$F$13</c:f>
              <c:strCache>
                <c:ptCount val="1"/>
                <c:pt idx="0">
                  <c:v>ROI (%)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Ejecutivo'!$B$14:$B$24</c:f>
              <c:strCache>
                <c:ptCount val="11"/>
                <c:pt idx="0">
                  <c:v>Prensa y Redes (Teaser + PR + Promo apertura)</c:v>
                </c:pt>
                <c:pt idx="1">
                  <c:v>Volantes, degustaciones y garantía de satisfacción</c:v>
                </c:pt>
                <c:pt idx="2">
                  <c:v>Contenido orgánico IG/TikTok/Facebook</c:v>
                </c:pt>
                <c:pt idx="3">
                  <c:v>Google Business Profile (SEO local)</c:v>
                </c:pt>
                <c:pt idx="4">
                  <c:v>Meta Ads pagado (geo-segmentado)</c:v>
                </c:pt>
                <c:pt idx="5">
                  <c:v>QR en empaques/recibos + referidos</c:v>
                </c:pt>
                <c:pt idx="6">
                  <c:v>Almuerzos corporativos (pedidos por WhatsApp)</c:v>
                </c:pt>
                <c:pt idx="7">
                  <c:v>Refiere y gana (papas gratis)</c:v>
                </c:pt>
                <c:pt idx="8">
                  <c:v>San Valentín (Comparte un Döner)</c:v>
                </c:pt>
                <c:pt idx="9">
                  <c:v>Navidad y fin de año (Party Pack)</c:v>
                </c:pt>
                <c:pt idx="10">
                  <c:v>Semana de bienvenida universitaria</c:v>
                </c:pt>
              </c:strCache>
            </c:strRef>
          </c:cat>
          <c:val>
            <c:numRef>
              <c:f>'Resumen Ejecutivo'!$F$14:$F$24</c:f>
              <c:numCache>
                <c:formatCode>0.0%;\-0.0%;\-</c:formatCode>
                <c:ptCount val="11"/>
                <c:pt idx="0">
                  <c:v>1.25</c:v>
                </c:pt>
                <c:pt idx="1">
                  <c:v>3.1124999999999998</c:v>
                </c:pt>
                <c:pt idx="2">
                  <c:v>1.2456140350877194</c:v>
                </c:pt>
                <c:pt idx="3">
                  <c:v>5.4</c:v>
                </c:pt>
                <c:pt idx="4">
                  <c:v>3.2666666666666666</c:v>
                </c:pt>
                <c:pt idx="5">
                  <c:v>4.2727272727272725</c:v>
                </c:pt>
                <c:pt idx="6">
                  <c:v>3.3889999999999998</c:v>
                </c:pt>
                <c:pt idx="7">
                  <c:v>3.3312499999999998</c:v>
                </c:pt>
                <c:pt idx="8">
                  <c:v>1.6744186046511629</c:v>
                </c:pt>
                <c:pt idx="9">
                  <c:v>3.2924528301886791</c:v>
                </c:pt>
                <c:pt idx="10">
                  <c:v>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D8-4686-AA98-8FEC69230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133746"/>
        <c:axId val="90736070"/>
      </c:barChart>
      <c:catAx>
        <c:axId val="2513374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90736070"/>
        <c:crosses val="autoZero"/>
        <c:auto val="1"/>
        <c:lblAlgn val="ctr"/>
        <c:lblOffset val="100"/>
        <c:noMultiLvlLbl val="0"/>
      </c:catAx>
      <c:valAx>
        <c:axId val="907360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251337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25</xdr:row>
      <xdr:rowOff>175680</xdr:rowOff>
    </xdr:from>
    <xdr:to>
      <xdr:col>20</xdr:col>
      <xdr:colOff>4320</xdr:colOff>
      <xdr:row>40</xdr:row>
      <xdr:rowOff>85680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10</xdr:row>
      <xdr:rowOff>176040</xdr:rowOff>
    </xdr:from>
    <xdr:to>
      <xdr:col>20</xdr:col>
      <xdr:colOff>4320</xdr:colOff>
      <xdr:row>27</xdr:row>
      <xdr:rowOff>177120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45"/>
  <sheetViews>
    <sheetView topLeftCell="A37" zoomScaleNormal="100" workbookViewId="0">
      <selection activeCell="A43" sqref="A43"/>
    </sheetView>
  </sheetViews>
  <sheetFormatPr baseColWidth="10" defaultColWidth="8.7109375" defaultRowHeight="15" x14ac:dyDescent="0.25"/>
  <cols>
    <col min="1" max="1" width="30" customWidth="1"/>
    <col min="2" max="2" width="46" customWidth="1"/>
    <col min="3" max="8" width="15" customWidth="1"/>
    <col min="9" max="9" width="18" customWidth="1"/>
  </cols>
  <sheetData>
    <row r="1" spans="1:9" ht="16.5" x14ac:dyDescent="0.25">
      <c r="A1" s="31" t="s">
        <v>0</v>
      </c>
      <c r="B1" s="40"/>
      <c r="C1" s="40"/>
      <c r="D1" s="40"/>
      <c r="E1" s="40"/>
      <c r="F1" s="40"/>
      <c r="G1" s="40"/>
      <c r="H1" s="40"/>
      <c r="I1" s="40"/>
    </row>
    <row r="3" spans="1:9" x14ac:dyDescent="0.25">
      <c r="A3" s="44" t="s">
        <v>1</v>
      </c>
    </row>
    <row r="4" spans="1:9" x14ac:dyDescent="0.25">
      <c r="A4" s="30" t="s">
        <v>2</v>
      </c>
      <c r="B4" s="30" t="s">
        <v>3</v>
      </c>
      <c r="C4" s="30" t="s">
        <v>4</v>
      </c>
      <c r="D4" s="30" t="s">
        <v>5</v>
      </c>
      <c r="E4" s="30" t="s">
        <v>6</v>
      </c>
      <c r="F4" s="30" t="s">
        <v>7</v>
      </c>
      <c r="G4" s="30" t="s">
        <v>8</v>
      </c>
    </row>
    <row r="5" spans="1:9" x14ac:dyDescent="0.25">
      <c r="A5" s="2" t="s">
        <v>9</v>
      </c>
      <c r="B5" s="26">
        <f>'Reporte Costo-Beneficio'!AY6</f>
        <v>6800000</v>
      </c>
      <c r="C5" s="3">
        <f>'Reporte Costo-Beneficio'!AZ6</f>
        <v>19025000</v>
      </c>
      <c r="D5" s="4">
        <f>C5-B5</f>
        <v>12225000</v>
      </c>
      <c r="E5" s="5">
        <f>IF(B5=0,0,D5/B5)</f>
        <v>1.7977941176470589</v>
      </c>
      <c r="F5" s="6">
        <f>IF(B5=0,0,C5/B5)</f>
        <v>2.7977941176470589</v>
      </c>
      <c r="G5" s="7">
        <f>COUNTIF(Supuestos!$A$12:$A$22,A5)</f>
        <v>2</v>
      </c>
    </row>
    <row r="6" spans="1:9" x14ac:dyDescent="0.25">
      <c r="A6" s="2" t="s">
        <v>10</v>
      </c>
      <c r="B6" s="26">
        <f>'Reporte Costo-Beneficio'!AY9</f>
        <v>44600000</v>
      </c>
      <c r="C6" s="3">
        <f>'Reporte Costo-Beneficio'!AZ9</f>
        <v>177861818.18181816</v>
      </c>
      <c r="D6" s="4">
        <f>C6-B6</f>
        <v>133261818.18181816</v>
      </c>
      <c r="E6" s="5">
        <f>IF(B6=0,0,D6/B6)</f>
        <v>2.9879331430900931</v>
      </c>
      <c r="F6" s="6">
        <f>IF(B6=0,0,C6/B6)</f>
        <v>3.9879331430900931</v>
      </c>
      <c r="G6" s="7">
        <f>COUNTIF(Supuestos!$A$12:$A$22,A6)</f>
        <v>4</v>
      </c>
    </row>
    <row r="7" spans="1:9" x14ac:dyDescent="0.25">
      <c r="A7" s="2" t="s">
        <v>11</v>
      </c>
      <c r="B7" s="26">
        <f>'Reporte Costo-Beneficio'!AY14</f>
        <v>6000000</v>
      </c>
      <c r="C7" s="3">
        <f>'Reporte Costo-Beneficio'!AZ14</f>
        <v>26218500</v>
      </c>
      <c r="D7" s="4">
        <f>C7-B7</f>
        <v>20218500</v>
      </c>
      <c r="E7" s="5">
        <f>IF(B7=0,0,D7/B7)</f>
        <v>3.3697499999999998</v>
      </c>
      <c r="F7" s="6">
        <f>IF(B7=0,0,C7/B7)</f>
        <v>4.3697499999999998</v>
      </c>
      <c r="G7" s="7">
        <f>COUNTIF(Supuestos!$A$12:$A$22,A7)</f>
        <v>2</v>
      </c>
    </row>
    <row r="8" spans="1:9" x14ac:dyDescent="0.25">
      <c r="A8" s="2" t="s">
        <v>12</v>
      </c>
      <c r="B8" s="26">
        <f>'Reporte Costo-Beneficio'!AY17</f>
        <v>9600000</v>
      </c>
      <c r="C8" s="3">
        <f>'Reporte Costo-Beneficio'!AZ17</f>
        <v>34250000</v>
      </c>
      <c r="D8" s="4">
        <f>C8-B8</f>
        <v>24650000</v>
      </c>
      <c r="E8" s="5">
        <f>IF(B8=0,0,D8/B8)</f>
        <v>2.5677083333333335</v>
      </c>
      <c r="F8" s="6">
        <f>IF(B8=0,0,C8/B8)</f>
        <v>3.5677083333333335</v>
      </c>
      <c r="G8" s="7">
        <f>COUNTIF(Supuestos!$A$12:$A$22,A8)</f>
        <v>2</v>
      </c>
    </row>
    <row r="9" spans="1:9" x14ac:dyDescent="0.25">
      <c r="A9" s="2" t="s">
        <v>13</v>
      </c>
      <c r="B9" s="26">
        <f>'Reporte Costo-Beneficio'!AY20</f>
        <v>2000000</v>
      </c>
      <c r="C9" s="3">
        <f>'Reporte Costo-Beneficio'!AZ20</f>
        <v>6600000</v>
      </c>
      <c r="D9" s="4">
        <f>C9-B9</f>
        <v>4600000</v>
      </c>
      <c r="E9" s="5">
        <f>IF(B9=0,0,D9/B9)</f>
        <v>2.2999999999999998</v>
      </c>
      <c r="F9" s="6">
        <f>IF(B9=0,0,C9/B9)</f>
        <v>3.3</v>
      </c>
      <c r="G9" s="7">
        <f>COUNTIF(Supuestos!$A$12:$A$22,A9)</f>
        <v>1</v>
      </c>
    </row>
    <row r="10" spans="1:9" x14ac:dyDescent="0.25">
      <c r="A10" s="8" t="s">
        <v>14</v>
      </c>
      <c r="B10" s="9">
        <f>SUM(B5:B9)</f>
        <v>69000000</v>
      </c>
      <c r="C10" s="9">
        <f>SUM(C5:C9)</f>
        <v>263955318.18181816</v>
      </c>
      <c r="D10" s="9">
        <f>SUM(D5:D9)</f>
        <v>194955318.18181816</v>
      </c>
      <c r="E10" s="10">
        <f>D10/B10</f>
        <v>2.8254393939393938</v>
      </c>
      <c r="F10" s="11">
        <f>C10/B10</f>
        <v>3.8254393939393938</v>
      </c>
      <c r="G10" s="12">
        <f>SUM(G5:G9)</f>
        <v>11</v>
      </c>
    </row>
    <row r="12" spans="1:9" x14ac:dyDescent="0.25">
      <c r="A12" s="44" t="s">
        <v>15</v>
      </c>
    </row>
    <row r="13" spans="1:9" x14ac:dyDescent="0.25">
      <c r="A13" s="30" t="s">
        <v>2</v>
      </c>
      <c r="B13" s="30" t="s">
        <v>16</v>
      </c>
      <c r="C13" s="30" t="s">
        <v>3</v>
      </c>
      <c r="D13" s="30" t="s">
        <v>4</v>
      </c>
      <c r="E13" s="30" t="s">
        <v>5</v>
      </c>
      <c r="F13" s="30" t="s">
        <v>6</v>
      </c>
      <c r="G13" s="30" t="s">
        <v>7</v>
      </c>
      <c r="H13" s="30" t="s">
        <v>17</v>
      </c>
      <c r="I13" s="30" t="s">
        <v>18</v>
      </c>
    </row>
    <row r="14" spans="1:9" x14ac:dyDescent="0.25">
      <c r="A14" s="27" t="str">
        <f>Supuestos!A12</f>
        <v>LANZAMIENTO</v>
      </c>
      <c r="B14" s="27" t="str">
        <f>Supuestos!B12</f>
        <v>Prensa y Redes (Teaser + PR + Promo apertura)</v>
      </c>
      <c r="C14" s="26">
        <f>'Reporte Costo-Beneficio'!AY7</f>
        <v>4800000</v>
      </c>
      <c r="D14" s="3">
        <f>'Reporte Costo-Beneficio'!AZ7</f>
        <v>10800000</v>
      </c>
      <c r="E14" s="4">
        <f t="shared" ref="E14:E24" si="0">D14-C14</f>
        <v>6000000</v>
      </c>
      <c r="F14" s="5">
        <f t="shared" ref="F14:F24" si="1">IF(C14=0,0,E14/C14)</f>
        <v>1.25</v>
      </c>
      <c r="G14" s="6">
        <f t="shared" ref="G14:G24" si="2">IF(C14=0,0,D14/C14)</f>
        <v>2.25</v>
      </c>
      <c r="H14" s="28">
        <f>Supuestos!Q12</f>
        <v>1</v>
      </c>
      <c r="I14" s="27" t="str">
        <f>Supuestos!U12</f>
        <v>4-25 ene</v>
      </c>
    </row>
    <row r="15" spans="1:9" x14ac:dyDescent="0.25">
      <c r="A15" s="27" t="str">
        <f>Supuestos!A13</f>
        <v>LANZAMIENTO</v>
      </c>
      <c r="B15" s="27" t="str">
        <f>Supuestos!B13</f>
        <v>Volantes, degustaciones y garantía de satisfacción</v>
      </c>
      <c r="C15" s="26">
        <f>'Reporte Costo-Beneficio'!AY8</f>
        <v>2000000</v>
      </c>
      <c r="D15" s="3">
        <f>'Reporte Costo-Beneficio'!AZ8</f>
        <v>8225000</v>
      </c>
      <c r="E15" s="4">
        <f t="shared" si="0"/>
        <v>6225000</v>
      </c>
      <c r="F15" s="5">
        <f t="shared" si="1"/>
        <v>3.1124999999999998</v>
      </c>
      <c r="G15" s="6">
        <f t="shared" si="2"/>
        <v>4.1124999999999998</v>
      </c>
      <c r="H15" s="28">
        <f>Supuestos!Q13</f>
        <v>2</v>
      </c>
      <c r="I15" s="27" t="str">
        <f>Supuestos!U13</f>
        <v>18 ene-1 feb</v>
      </c>
    </row>
    <row r="16" spans="1:9" x14ac:dyDescent="0.25">
      <c r="A16" s="27" t="str">
        <f>Supuestos!A14</f>
        <v>PUBLICIDAD DIGITAL</v>
      </c>
      <c r="B16" s="27" t="str">
        <f>Supuestos!B14</f>
        <v>Contenido orgánico IG/TikTok/Facebook</v>
      </c>
      <c r="C16" s="26">
        <f>'Reporte Costo-Beneficio'!AY10</f>
        <v>11400000</v>
      </c>
      <c r="D16" s="3">
        <f>'Reporte Costo-Beneficio'!AZ10</f>
        <v>25600000</v>
      </c>
      <c r="E16" s="4">
        <f t="shared" si="0"/>
        <v>14200000</v>
      </c>
      <c r="F16" s="5">
        <f t="shared" si="1"/>
        <v>1.2456140350877194</v>
      </c>
      <c r="G16" s="6">
        <f t="shared" si="2"/>
        <v>2.2456140350877192</v>
      </c>
      <c r="H16" s="28">
        <f>Supuestos!Q14</f>
        <v>12</v>
      </c>
      <c r="I16" s="27" t="str">
        <f>Supuestos!U14</f>
        <v>4 ene-31 dic</v>
      </c>
    </row>
    <row r="17" spans="1:9" x14ac:dyDescent="0.25">
      <c r="A17" s="27" t="str">
        <f>Supuestos!A15</f>
        <v>PUBLICIDAD DIGITAL</v>
      </c>
      <c r="B17" s="27" t="str">
        <f>Supuestos!B15</f>
        <v>Google Business Profile (SEO local)</v>
      </c>
      <c r="C17" s="26">
        <f>'Reporte Costo-Beneficio'!AY11</f>
        <v>1200000</v>
      </c>
      <c r="D17" s="3">
        <f>'Reporte Costo-Beneficio'!AZ11</f>
        <v>7680000</v>
      </c>
      <c r="E17" s="4">
        <f t="shared" si="0"/>
        <v>6480000</v>
      </c>
      <c r="F17" s="5">
        <f t="shared" si="1"/>
        <v>5.4</v>
      </c>
      <c r="G17" s="6">
        <f t="shared" si="2"/>
        <v>6.4</v>
      </c>
      <c r="H17" s="28">
        <f>Supuestos!Q15</f>
        <v>12</v>
      </c>
      <c r="I17" s="27" t="str">
        <f>Supuestos!U15</f>
        <v>4 ene-31 dic</v>
      </c>
    </row>
    <row r="18" spans="1:9" x14ac:dyDescent="0.25">
      <c r="A18" s="27" t="str">
        <f>Supuestos!A16</f>
        <v>PUBLICIDAD DIGITAL</v>
      </c>
      <c r="B18" s="27" t="str">
        <f>Supuestos!B16</f>
        <v>Meta Ads pagado (geo-segmentado)</v>
      </c>
      <c r="C18" s="26">
        <f>'Reporte Costo-Beneficio'!AY12</f>
        <v>24000000</v>
      </c>
      <c r="D18" s="3">
        <f>'Reporte Costo-Beneficio'!AZ12</f>
        <v>102400000</v>
      </c>
      <c r="E18" s="4">
        <f t="shared" si="0"/>
        <v>78400000</v>
      </c>
      <c r="F18" s="5">
        <f t="shared" si="1"/>
        <v>3.2666666666666666</v>
      </c>
      <c r="G18" s="6">
        <f t="shared" si="2"/>
        <v>4.2666666666666666</v>
      </c>
      <c r="H18" s="28">
        <f>Supuestos!Q16</f>
        <v>12</v>
      </c>
      <c r="I18" s="27" t="str">
        <f>Supuestos!U16</f>
        <v>18 ene-31 dic</v>
      </c>
    </row>
    <row r="19" spans="1:9" x14ac:dyDescent="0.25">
      <c r="A19" s="27" t="str">
        <f>Supuestos!A17</f>
        <v>PUBLICIDAD DIGITAL</v>
      </c>
      <c r="B19" s="27" t="str">
        <f>Supuestos!B17</f>
        <v>QR en empaques/recibos + referidos</v>
      </c>
      <c r="C19" s="26">
        <f>'Reporte Costo-Beneficio'!AY13</f>
        <v>8000000.0000000019</v>
      </c>
      <c r="D19" s="3">
        <f>'Reporte Costo-Beneficio'!AZ13</f>
        <v>42181818.181818187</v>
      </c>
      <c r="E19" s="4">
        <f t="shared" si="0"/>
        <v>34181818.181818187</v>
      </c>
      <c r="F19" s="5">
        <f t="shared" si="1"/>
        <v>4.2727272727272725</v>
      </c>
      <c r="G19" s="6">
        <f t="shared" si="2"/>
        <v>5.2727272727272725</v>
      </c>
      <c r="H19" s="28">
        <f>Supuestos!Q17</f>
        <v>11</v>
      </c>
      <c r="I19" s="27" t="str">
        <f>Supuestos!U17</f>
        <v>15 feb-31 dic</v>
      </c>
    </row>
    <row r="20" spans="1:9" x14ac:dyDescent="0.25">
      <c r="A20" s="27" t="str">
        <f>Supuestos!A18</f>
        <v>DELIVERY Y FIDELIZACIÓN</v>
      </c>
      <c r="B20" s="27" t="str">
        <f>Supuestos!B18</f>
        <v>Almuerzos corporativos (pedidos por WhatsApp)</v>
      </c>
      <c r="C20" s="26">
        <f>'Reporte Costo-Beneficio'!AY15</f>
        <v>4000000</v>
      </c>
      <c r="D20" s="3">
        <f>'Reporte Costo-Beneficio'!AZ15</f>
        <v>17556000</v>
      </c>
      <c r="E20" s="4">
        <f t="shared" si="0"/>
        <v>13556000</v>
      </c>
      <c r="F20" s="5">
        <f t="shared" si="1"/>
        <v>3.3889999999999998</v>
      </c>
      <c r="G20" s="6">
        <f t="shared" si="2"/>
        <v>4.3890000000000002</v>
      </c>
      <c r="H20" s="28">
        <f>Supuestos!Q18</f>
        <v>10</v>
      </c>
      <c r="I20" s="27" t="str">
        <f>Supuestos!U18</f>
        <v>15 mar-31 dic</v>
      </c>
    </row>
    <row r="21" spans="1:9" x14ac:dyDescent="0.25">
      <c r="A21" s="27" t="str">
        <f>Supuestos!A19</f>
        <v>DELIVERY Y FIDELIZACIÓN</v>
      </c>
      <c r="B21" s="27" t="str">
        <f>Supuestos!B19</f>
        <v>Refiere y gana (papas gratis)</v>
      </c>
      <c r="C21" s="26">
        <f>'Reporte Costo-Beneficio'!AY16</f>
        <v>2000000</v>
      </c>
      <c r="D21" s="3">
        <f>'Reporte Costo-Beneficio'!AZ16</f>
        <v>8662500</v>
      </c>
      <c r="E21" s="4">
        <f t="shared" si="0"/>
        <v>6662500</v>
      </c>
      <c r="F21" s="5">
        <f t="shared" si="1"/>
        <v>3.3312499999999998</v>
      </c>
      <c r="G21" s="6">
        <f t="shared" si="2"/>
        <v>4.3312499999999998</v>
      </c>
      <c r="H21" s="28">
        <f>Supuestos!Q19</f>
        <v>4</v>
      </c>
      <c r="I21" s="27" t="str">
        <f>Supuestos!U19</f>
        <v>12 abr-5 jul</v>
      </c>
    </row>
    <row r="22" spans="1:9" x14ac:dyDescent="0.25">
      <c r="A22" s="27" t="str">
        <f>Supuestos!A20</f>
        <v>FECHAS ESPECIALES</v>
      </c>
      <c r="B22" s="27" t="str">
        <f>Supuestos!B20</f>
        <v>San Valentín (Comparte un Döner)</v>
      </c>
      <c r="C22" s="26">
        <f>'Reporte Costo-Beneficio'!AY18</f>
        <v>4300000</v>
      </c>
      <c r="D22" s="3">
        <f>'Reporte Costo-Beneficio'!AZ18</f>
        <v>11500000</v>
      </c>
      <c r="E22" s="4">
        <f t="shared" si="0"/>
        <v>7200000</v>
      </c>
      <c r="F22" s="5">
        <f t="shared" si="1"/>
        <v>1.6744186046511629</v>
      </c>
      <c r="G22" s="6">
        <f t="shared" si="2"/>
        <v>2.6744186046511627</v>
      </c>
      <c r="H22" s="28">
        <f>Supuestos!Q20</f>
        <v>1</v>
      </c>
      <c r="I22" s="27" t="str">
        <f>Supuestos!U20</f>
        <v>8-15 feb</v>
      </c>
    </row>
    <row r="23" spans="1:9" x14ac:dyDescent="0.25">
      <c r="A23" s="27" t="str">
        <f>Supuestos!A21</f>
        <v>FECHAS ESPECIALES</v>
      </c>
      <c r="B23" s="27" t="str">
        <f>Supuestos!B21</f>
        <v>Navidad y fin de año (Party Pack)</v>
      </c>
      <c r="C23" s="26">
        <f>'Reporte Costo-Beneficio'!AY19</f>
        <v>5300000</v>
      </c>
      <c r="D23" s="3">
        <f>'Reporte Costo-Beneficio'!AZ19</f>
        <v>22750000</v>
      </c>
      <c r="E23" s="4">
        <f t="shared" si="0"/>
        <v>17450000</v>
      </c>
      <c r="F23" s="5">
        <f t="shared" si="1"/>
        <v>3.2924528301886791</v>
      </c>
      <c r="G23" s="6">
        <f t="shared" si="2"/>
        <v>4.2924528301886795</v>
      </c>
      <c r="H23" s="28">
        <f>Supuestos!Q21</f>
        <v>1</v>
      </c>
      <c r="I23" s="27" t="str">
        <f>Supuestos!U21</f>
        <v>13-27 dic</v>
      </c>
    </row>
    <row r="24" spans="1:9" x14ac:dyDescent="0.25">
      <c r="A24" s="27" t="str">
        <f>Supuestos!A22</f>
        <v>COMUNIDAD Y ALIANZAS</v>
      </c>
      <c r="B24" s="27" t="str">
        <f>Supuestos!B22</f>
        <v>Semana de bienvenida universitaria</v>
      </c>
      <c r="C24" s="26">
        <f>'Reporte Costo-Beneficio'!AY21</f>
        <v>2000000</v>
      </c>
      <c r="D24" s="3">
        <f>'Reporte Costo-Beneficio'!AZ21</f>
        <v>6600000</v>
      </c>
      <c r="E24" s="4">
        <f t="shared" si="0"/>
        <v>4600000</v>
      </c>
      <c r="F24" s="5">
        <f t="shared" si="1"/>
        <v>2.2999999999999998</v>
      </c>
      <c r="G24" s="6">
        <f t="shared" si="2"/>
        <v>3.3</v>
      </c>
      <c r="H24" s="28">
        <f>Supuestos!Q22</f>
        <v>2</v>
      </c>
      <c r="I24" s="27" t="str">
        <f>Supuestos!U22</f>
        <v>1-8 feb y 2-9 ago</v>
      </c>
    </row>
    <row r="25" spans="1:9" x14ac:dyDescent="0.25">
      <c r="A25" s="13" t="s">
        <v>19</v>
      </c>
      <c r="B25" s="13"/>
      <c r="C25" s="14">
        <f>SUM(C14:C24)</f>
        <v>69000000</v>
      </c>
      <c r="D25" s="14">
        <f>SUM(D14:D24)</f>
        <v>263955318.18181819</v>
      </c>
      <c r="E25" s="14">
        <f>SUM(E14:E24)</f>
        <v>194955318.18181819</v>
      </c>
      <c r="F25" s="15">
        <f>E25/C25</f>
        <v>2.8254393939393938</v>
      </c>
      <c r="G25" s="16">
        <f>D25/C25</f>
        <v>3.8254393939393938</v>
      </c>
      <c r="H25" s="13"/>
      <c r="I25" s="13"/>
    </row>
    <row r="27" spans="1:9" x14ac:dyDescent="0.25">
      <c r="A27" s="44" t="s">
        <v>20</v>
      </c>
    </row>
    <row r="28" spans="1:9" ht="25.5" x14ac:dyDescent="0.25">
      <c r="A28" s="30" t="s">
        <v>21</v>
      </c>
      <c r="B28" s="30" t="s">
        <v>22</v>
      </c>
      <c r="C28" s="30" t="s">
        <v>23</v>
      </c>
      <c r="D28" s="30" t="s">
        <v>5</v>
      </c>
      <c r="E28" s="30" t="s">
        <v>6</v>
      </c>
      <c r="F28" s="30" t="s">
        <v>24</v>
      </c>
    </row>
    <row r="29" spans="1:9" x14ac:dyDescent="0.25">
      <c r="A29" s="2" t="s">
        <v>25</v>
      </c>
      <c r="B29" s="26">
        <f>'Reporte Costo-Beneficio'!C23</f>
        <v>8850000</v>
      </c>
      <c r="C29" s="3">
        <f>'Reporte Costo-Beneficio'!D24</f>
        <v>27720000</v>
      </c>
      <c r="D29" s="4">
        <f t="shared" ref="D29:D40" si="3">C29-B29</f>
        <v>18870000</v>
      </c>
      <c r="E29" s="5">
        <f t="shared" ref="E29:E40" si="4">IF(B29=0,0,D29/B29)</f>
        <v>2.1322033898305084</v>
      </c>
      <c r="F29" s="7">
        <f>SUM(Supuestos!E12:E22)</f>
        <v>5</v>
      </c>
    </row>
    <row r="30" spans="1:9" x14ac:dyDescent="0.25">
      <c r="A30" s="2" t="s">
        <v>26</v>
      </c>
      <c r="B30" s="26">
        <f>'Reporte Costo-Beneficio'!G23</f>
        <v>10077272.727272727</v>
      </c>
      <c r="C30" s="3">
        <f>'Reporte Costo-Beneficio'!H24</f>
        <v>35346818.18181818</v>
      </c>
      <c r="D30" s="4">
        <f t="shared" si="3"/>
        <v>25269545.454545453</v>
      </c>
      <c r="E30" s="5">
        <f t="shared" si="4"/>
        <v>2.5075778078484441</v>
      </c>
      <c r="F30" s="7">
        <f>SUM(Supuestos!F12:F22)</f>
        <v>7</v>
      </c>
    </row>
    <row r="31" spans="1:9" x14ac:dyDescent="0.25">
      <c r="A31" s="2" t="s">
        <v>27</v>
      </c>
      <c r="B31" s="26">
        <f>'Reporte Costo-Beneficio'!K23</f>
        <v>4177272.7272727275</v>
      </c>
      <c r="C31" s="3">
        <f>'Reporte Costo-Beneficio'!L24</f>
        <v>14324727.272727273</v>
      </c>
      <c r="D31" s="4">
        <f t="shared" si="3"/>
        <v>10147454.545454547</v>
      </c>
      <c r="E31" s="5">
        <f t="shared" si="4"/>
        <v>2.4292056583242658</v>
      </c>
      <c r="F31" s="7">
        <f>SUM(Supuestos!G12:G22)</f>
        <v>5</v>
      </c>
    </row>
    <row r="32" spans="1:9" x14ac:dyDescent="0.25">
      <c r="A32" s="2" t="s">
        <v>28</v>
      </c>
      <c r="B32" s="26">
        <f>'Reporte Costo-Beneficio'!O23</f>
        <v>4677272.7272727275</v>
      </c>
      <c r="C32" s="3">
        <f>'Reporte Costo-Beneficio'!P24</f>
        <v>15441409.090909092</v>
      </c>
      <c r="D32" s="4">
        <f t="shared" si="3"/>
        <v>10764136.363636363</v>
      </c>
      <c r="E32" s="5">
        <f t="shared" si="4"/>
        <v>2.3013702623906704</v>
      </c>
      <c r="F32" s="7">
        <f>SUM(Supuestos!H12:H22)</f>
        <v>6</v>
      </c>
    </row>
    <row r="33" spans="1:6" x14ac:dyDescent="0.25">
      <c r="A33" s="2" t="s">
        <v>29</v>
      </c>
      <c r="B33" s="26">
        <f>'Reporte Costo-Beneficio'!S23</f>
        <v>4677272.7272727275</v>
      </c>
      <c r="C33" s="3">
        <f>'Reporte Costo-Beneficio'!T24</f>
        <v>19074681.81818182</v>
      </c>
      <c r="D33" s="4">
        <f t="shared" si="3"/>
        <v>14397409.090909094</v>
      </c>
      <c r="E33" s="5">
        <f t="shared" si="4"/>
        <v>3.0781632653061228</v>
      </c>
      <c r="F33" s="7">
        <f>SUM(Supuestos!I12:I22)</f>
        <v>6</v>
      </c>
    </row>
    <row r="34" spans="1:6" x14ac:dyDescent="0.25">
      <c r="A34" s="2" t="s">
        <v>30</v>
      </c>
      <c r="B34" s="26">
        <f>'Reporte Costo-Beneficio'!W23</f>
        <v>4677272.7272727275</v>
      </c>
      <c r="C34" s="3">
        <f>'Reporte Costo-Beneficio'!X24</f>
        <v>17258045.454545453</v>
      </c>
      <c r="D34" s="4">
        <f t="shared" si="3"/>
        <v>12580772.727272727</v>
      </c>
      <c r="E34" s="5">
        <f t="shared" si="4"/>
        <v>2.6897667638483962</v>
      </c>
      <c r="F34" s="7">
        <f>SUM(Supuestos!J12:J22)</f>
        <v>6</v>
      </c>
    </row>
    <row r="35" spans="1:6" x14ac:dyDescent="0.25">
      <c r="A35" s="2" t="s">
        <v>31</v>
      </c>
      <c r="B35" s="26">
        <f>'Reporte Costo-Beneficio'!AA23</f>
        <v>4677272.7272727275</v>
      </c>
      <c r="C35" s="3">
        <f>'Reporte Costo-Beneficio'!AB24</f>
        <v>18166363.636363637</v>
      </c>
      <c r="D35" s="4">
        <f t="shared" si="3"/>
        <v>13489090.90909091</v>
      </c>
      <c r="E35" s="5">
        <f t="shared" si="4"/>
        <v>2.8839650145772597</v>
      </c>
      <c r="F35" s="7">
        <f>SUM(Supuestos!K12:K22)</f>
        <v>6</v>
      </c>
    </row>
    <row r="36" spans="1:6" x14ac:dyDescent="0.25">
      <c r="A36" s="2" t="s">
        <v>32</v>
      </c>
      <c r="B36" s="26">
        <f>'Reporte Costo-Beneficio'!AE23</f>
        <v>5177272.7272727275</v>
      </c>
      <c r="C36" s="3">
        <f>'Reporte Costo-Beneficio'!AF24</f>
        <v>19862181.81818182</v>
      </c>
      <c r="D36" s="4">
        <f t="shared" si="3"/>
        <v>14684909.090909094</v>
      </c>
      <c r="E36" s="5">
        <f t="shared" si="4"/>
        <v>2.8364179104477616</v>
      </c>
      <c r="F36" s="7">
        <f>SUM(Supuestos!L12:L22)</f>
        <v>6</v>
      </c>
    </row>
    <row r="37" spans="1:6" x14ac:dyDescent="0.25">
      <c r="A37" s="2" t="s">
        <v>33</v>
      </c>
      <c r="B37" s="26">
        <f>'Reporte Costo-Beneficio'!AI23</f>
        <v>4177272.7272727275</v>
      </c>
      <c r="C37" s="3">
        <f>'Reporte Costo-Beneficio'!AJ24</f>
        <v>17508000</v>
      </c>
      <c r="D37" s="4">
        <f t="shared" si="3"/>
        <v>13330727.272727273</v>
      </c>
      <c r="E37" s="5">
        <f t="shared" si="4"/>
        <v>3.1912513601741024</v>
      </c>
      <c r="F37" s="7">
        <f>SUM(Supuestos!M12:M22)</f>
        <v>5</v>
      </c>
    </row>
    <row r="38" spans="1:6" x14ac:dyDescent="0.25">
      <c r="A38" s="2" t="s">
        <v>34</v>
      </c>
      <c r="B38" s="26">
        <f>'Reporte Costo-Beneficio'!AM23</f>
        <v>4177272.7272727275</v>
      </c>
      <c r="C38" s="3">
        <f>'Reporte Costo-Beneficio'!AN24</f>
        <v>17508000</v>
      </c>
      <c r="D38" s="4">
        <f t="shared" si="3"/>
        <v>13330727.272727273</v>
      </c>
      <c r="E38" s="5">
        <f t="shared" si="4"/>
        <v>3.1912513601741024</v>
      </c>
      <c r="F38" s="7">
        <f>SUM(Supuestos!N12:N22)</f>
        <v>5</v>
      </c>
    </row>
    <row r="39" spans="1:6" x14ac:dyDescent="0.25">
      <c r="A39" s="2" t="s">
        <v>35</v>
      </c>
      <c r="B39" s="26">
        <f>'Reporte Costo-Beneficio'!AQ23</f>
        <v>4177272.7272727275</v>
      </c>
      <c r="C39" s="3">
        <f>'Reporte Costo-Beneficio'!AR24</f>
        <v>18303818.18181818</v>
      </c>
      <c r="D39" s="4">
        <f t="shared" si="3"/>
        <v>14126545.454545453</v>
      </c>
      <c r="E39" s="5">
        <f t="shared" si="4"/>
        <v>3.3817627856365609</v>
      </c>
      <c r="F39" s="7">
        <f>SUM(Supuestos!O12:O22)</f>
        <v>5</v>
      </c>
    </row>
    <row r="40" spans="1:6" x14ac:dyDescent="0.25">
      <c r="A40" s="2" t="s">
        <v>36</v>
      </c>
      <c r="B40" s="26">
        <f>'Reporte Costo-Beneficio'!AU23</f>
        <v>9477272.7272727266</v>
      </c>
      <c r="C40" s="3">
        <f>'Reporte Costo-Beneficio'!AV24</f>
        <v>43441272.727272727</v>
      </c>
      <c r="D40" s="4">
        <f t="shared" si="3"/>
        <v>33964000</v>
      </c>
      <c r="E40" s="5">
        <f t="shared" si="4"/>
        <v>3.5837314148681059</v>
      </c>
      <c r="F40" s="7">
        <f>SUM(Supuestos!P12:P22)</f>
        <v>6</v>
      </c>
    </row>
    <row r="41" spans="1:6" x14ac:dyDescent="0.25">
      <c r="A41" s="13" t="s">
        <v>19</v>
      </c>
      <c r="B41" s="14">
        <f>SUM(B29:B40)</f>
        <v>69000000</v>
      </c>
      <c r="C41" s="14">
        <f>SUM(C29:C40)</f>
        <v>263955318.18181819</v>
      </c>
      <c r="D41" s="14">
        <f>SUM(D29:D40)</f>
        <v>194955318.18181819</v>
      </c>
      <c r="E41" s="15">
        <f>D41/B41</f>
        <v>2.8254393939393938</v>
      </c>
      <c r="F41" s="13"/>
    </row>
    <row r="43" spans="1:6" x14ac:dyDescent="0.25">
      <c r="A43" t="s">
        <v>37</v>
      </c>
      <c r="B43" s="17" t="str">
        <f>INDEX(A29:A40,MATCH(MAX(D29:D40),D29:D40,0))</f>
        <v>Diciembre</v>
      </c>
    </row>
    <row r="44" spans="1:6" x14ac:dyDescent="0.25">
      <c r="A44" t="s">
        <v>38</v>
      </c>
      <c r="B44" s="17" t="str">
        <f>INDEX(B14:B24,MATCH(MAX(F14:F24),F14:F24,0))</f>
        <v>Google Business Profile (SEO local)</v>
      </c>
    </row>
    <row r="45" spans="1:6" x14ac:dyDescent="0.25">
      <c r="A45" t="s">
        <v>39</v>
      </c>
      <c r="B45" s="17" t="str">
        <f>INDEX(B14:B24,MATCH(MIN(F14:F24),F14:F24,0))</f>
        <v>Contenido orgánico IG/TikTok/Facebook</v>
      </c>
    </row>
  </sheetData>
  <conditionalFormatting sqref="F14:F24">
    <cfRule type="colorScale" priority="2">
      <colorScale>
        <cfvo type="min"/>
        <cfvo type="percentile" val="50"/>
        <cfvo type="max"/>
        <color rgb="FFF8CBAD"/>
        <color rgb="FFFFEB84"/>
        <color rgb="FFA9D08E"/>
      </colorScale>
    </cfRule>
  </conditionalFormatting>
  <pageMargins left="0.75" right="0.75" top="1" bottom="1" header="0.511811023622047" footer="0.511811023622047"/>
  <pageSetup paperSize="8" fitToHeight="0"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B29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2" sqref="AW12"/>
    </sheetView>
  </sheetViews>
  <sheetFormatPr baseColWidth="10" defaultColWidth="8.7109375" defaultRowHeight="15" x14ac:dyDescent="0.25"/>
  <cols>
    <col min="1" max="1" width="27" customWidth="1"/>
    <col min="2" max="2" width="44" customWidth="1"/>
    <col min="3" max="5" width="13" customWidth="1"/>
    <col min="6" max="6" width="8" customWidth="1"/>
    <col min="7" max="9" width="13" customWidth="1"/>
    <col min="10" max="10" width="8" customWidth="1"/>
    <col min="11" max="13" width="13" customWidth="1"/>
    <col min="14" max="14" width="8" customWidth="1"/>
    <col min="15" max="17" width="13" customWidth="1"/>
    <col min="18" max="18" width="8" customWidth="1"/>
    <col min="19" max="21" width="13" customWidth="1"/>
    <col min="22" max="22" width="8" customWidth="1"/>
    <col min="23" max="25" width="13" customWidth="1"/>
    <col min="26" max="26" width="8" customWidth="1"/>
    <col min="27" max="29" width="13" customWidth="1"/>
    <col min="30" max="30" width="8" customWidth="1"/>
    <col min="31" max="33" width="13" customWidth="1"/>
    <col min="34" max="34" width="8" customWidth="1"/>
    <col min="35" max="37" width="13" customWidth="1"/>
    <col min="38" max="38" width="8" customWidth="1"/>
    <col min="39" max="41" width="13" customWidth="1"/>
    <col min="42" max="42" width="8" customWidth="1"/>
    <col min="43" max="45" width="13" customWidth="1"/>
    <col min="46" max="46" width="8" customWidth="1"/>
    <col min="47" max="49" width="13" customWidth="1"/>
    <col min="50" max="50" width="8" customWidth="1"/>
    <col min="51" max="53" width="13" customWidth="1"/>
    <col min="54" max="54" width="8" customWidth="1"/>
  </cols>
  <sheetData>
    <row r="1" spans="1:54" s="42" customFormat="1" ht="16.5" x14ac:dyDescent="0.25">
      <c r="A1" s="31" t="s">
        <v>40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</row>
    <row r="2" spans="1:54" x14ac:dyDescent="0.25">
      <c r="A2" s="18"/>
    </row>
    <row r="4" spans="1:54" ht="15" customHeight="1" x14ac:dyDescent="0.25">
      <c r="A4" s="29" t="s">
        <v>2</v>
      </c>
      <c r="B4" s="29" t="s">
        <v>16</v>
      </c>
      <c r="C4" s="30" t="s">
        <v>25</v>
      </c>
      <c r="D4" s="30"/>
      <c r="E4" s="30"/>
      <c r="F4" s="30"/>
      <c r="G4" s="30" t="s">
        <v>26</v>
      </c>
      <c r="H4" s="30"/>
      <c r="I4" s="30"/>
      <c r="J4" s="30"/>
      <c r="K4" s="30" t="s">
        <v>27</v>
      </c>
      <c r="L4" s="30"/>
      <c r="M4" s="30"/>
      <c r="N4" s="30"/>
      <c r="O4" s="30" t="s">
        <v>28</v>
      </c>
      <c r="P4" s="30"/>
      <c r="Q4" s="30"/>
      <c r="R4" s="30"/>
      <c r="S4" s="30" t="s">
        <v>29</v>
      </c>
      <c r="T4" s="30"/>
      <c r="U4" s="30"/>
      <c r="V4" s="30"/>
      <c r="W4" s="30" t="s">
        <v>30</v>
      </c>
      <c r="X4" s="30"/>
      <c r="Y4" s="30"/>
      <c r="Z4" s="30"/>
      <c r="AA4" s="30" t="s">
        <v>31</v>
      </c>
      <c r="AB4" s="30"/>
      <c r="AC4" s="30"/>
      <c r="AD4" s="30"/>
      <c r="AE4" s="30" t="s">
        <v>32</v>
      </c>
      <c r="AF4" s="30"/>
      <c r="AG4" s="30"/>
      <c r="AH4" s="30"/>
      <c r="AI4" s="30" t="s">
        <v>33</v>
      </c>
      <c r="AJ4" s="30"/>
      <c r="AK4" s="30"/>
      <c r="AL4" s="30"/>
      <c r="AM4" s="30" t="s">
        <v>34</v>
      </c>
      <c r="AN4" s="30"/>
      <c r="AO4" s="30"/>
      <c r="AP4" s="30"/>
      <c r="AQ4" s="30" t="s">
        <v>35</v>
      </c>
      <c r="AR4" s="30"/>
      <c r="AS4" s="30"/>
      <c r="AT4" s="30"/>
      <c r="AU4" s="30" t="s">
        <v>36</v>
      </c>
      <c r="AV4" s="30"/>
      <c r="AW4" s="30"/>
      <c r="AX4" s="30"/>
      <c r="AY4" s="1" t="s">
        <v>41</v>
      </c>
      <c r="AZ4" s="1"/>
      <c r="BA4" s="1"/>
      <c r="BB4" s="1"/>
    </row>
    <row r="5" spans="1:54" ht="30" customHeight="1" x14ac:dyDescent="0.25">
      <c r="A5" s="29"/>
      <c r="B5" s="29"/>
      <c r="C5" s="32" t="s">
        <v>42</v>
      </c>
      <c r="D5" s="32" t="s">
        <v>43</v>
      </c>
      <c r="E5" s="32" t="s">
        <v>44</v>
      </c>
      <c r="F5" s="32" t="s">
        <v>45</v>
      </c>
      <c r="G5" s="32" t="s">
        <v>42</v>
      </c>
      <c r="H5" s="32" t="s">
        <v>43</v>
      </c>
      <c r="I5" s="32" t="s">
        <v>44</v>
      </c>
      <c r="J5" s="32" t="s">
        <v>45</v>
      </c>
      <c r="K5" s="32" t="s">
        <v>42</v>
      </c>
      <c r="L5" s="32" t="s">
        <v>43</v>
      </c>
      <c r="M5" s="32" t="s">
        <v>44</v>
      </c>
      <c r="N5" s="32" t="s">
        <v>45</v>
      </c>
      <c r="O5" s="32" t="s">
        <v>42</v>
      </c>
      <c r="P5" s="32" t="s">
        <v>43</v>
      </c>
      <c r="Q5" s="32" t="s">
        <v>44</v>
      </c>
      <c r="R5" s="32" t="s">
        <v>45</v>
      </c>
      <c r="S5" s="32" t="s">
        <v>42</v>
      </c>
      <c r="T5" s="32" t="s">
        <v>43</v>
      </c>
      <c r="U5" s="32" t="s">
        <v>44</v>
      </c>
      <c r="V5" s="32" t="s">
        <v>45</v>
      </c>
      <c r="W5" s="32" t="s">
        <v>42</v>
      </c>
      <c r="X5" s="32" t="s">
        <v>43</v>
      </c>
      <c r="Y5" s="32" t="s">
        <v>44</v>
      </c>
      <c r="Z5" s="32" t="s">
        <v>45</v>
      </c>
      <c r="AA5" s="32" t="s">
        <v>42</v>
      </c>
      <c r="AB5" s="32" t="s">
        <v>43</v>
      </c>
      <c r="AC5" s="32" t="s">
        <v>44</v>
      </c>
      <c r="AD5" s="32" t="s">
        <v>45</v>
      </c>
      <c r="AE5" s="32" t="s">
        <v>42</v>
      </c>
      <c r="AF5" s="32" t="s">
        <v>43</v>
      </c>
      <c r="AG5" s="32" t="s">
        <v>44</v>
      </c>
      <c r="AH5" s="32" t="s">
        <v>45</v>
      </c>
      <c r="AI5" s="32" t="s">
        <v>42</v>
      </c>
      <c r="AJ5" s="32" t="s">
        <v>43</v>
      </c>
      <c r="AK5" s="32" t="s">
        <v>44</v>
      </c>
      <c r="AL5" s="32" t="s">
        <v>45</v>
      </c>
      <c r="AM5" s="32" t="s">
        <v>42</v>
      </c>
      <c r="AN5" s="32" t="s">
        <v>43</v>
      </c>
      <c r="AO5" s="32" t="s">
        <v>44</v>
      </c>
      <c r="AP5" s="32" t="s">
        <v>45</v>
      </c>
      <c r="AQ5" s="32" t="s">
        <v>42</v>
      </c>
      <c r="AR5" s="32" t="s">
        <v>43</v>
      </c>
      <c r="AS5" s="32" t="s">
        <v>44</v>
      </c>
      <c r="AT5" s="32" t="s">
        <v>45</v>
      </c>
      <c r="AU5" s="32" t="s">
        <v>42</v>
      </c>
      <c r="AV5" s="32" t="s">
        <v>43</v>
      </c>
      <c r="AW5" s="32" t="s">
        <v>44</v>
      </c>
      <c r="AX5" s="32" t="s">
        <v>45</v>
      </c>
      <c r="AY5" s="32" t="s">
        <v>42</v>
      </c>
      <c r="AZ5" s="32" t="s">
        <v>43</v>
      </c>
      <c r="BA5" s="32" t="s">
        <v>44</v>
      </c>
      <c r="BB5" s="32" t="s">
        <v>45</v>
      </c>
    </row>
    <row r="6" spans="1:54" x14ac:dyDescent="0.25">
      <c r="A6" s="19" t="s">
        <v>46</v>
      </c>
      <c r="B6" s="19"/>
      <c r="C6" s="20">
        <f>SUM(C7:C8)</f>
        <v>5800000</v>
      </c>
      <c r="D6" s="20">
        <f>SUM(D7:D8)</f>
        <v>15000000</v>
      </c>
      <c r="E6" s="20">
        <f t="shared" ref="E6:E21" si="0">D6-C6</f>
        <v>9200000</v>
      </c>
      <c r="F6" s="21">
        <f t="shared" ref="F6:F21" si="1">IF(C6=0,0,E6/C6)</f>
        <v>1.5862068965517242</v>
      </c>
      <c r="G6" s="20">
        <f>SUM(G7:G8)</f>
        <v>1000000</v>
      </c>
      <c r="H6" s="20">
        <f>SUM(H7:H8)</f>
        <v>4024999.9999999995</v>
      </c>
      <c r="I6" s="20">
        <f t="shared" ref="I6:I21" si="2">H6-G6</f>
        <v>3024999.9999999995</v>
      </c>
      <c r="J6" s="21">
        <f t="shared" ref="J6:J21" si="3">IF(G6=0,0,I6/G6)</f>
        <v>3.0249999999999995</v>
      </c>
      <c r="K6" s="20">
        <f>SUM(K7:K8)</f>
        <v>0</v>
      </c>
      <c r="L6" s="20">
        <f>SUM(L7:L8)</f>
        <v>0</v>
      </c>
      <c r="M6" s="20">
        <f t="shared" ref="M6:M21" si="4">L6-K6</f>
        <v>0</v>
      </c>
      <c r="N6" s="21">
        <f t="shared" ref="N6:N21" si="5">IF(K6=0,0,M6/K6)</f>
        <v>0</v>
      </c>
      <c r="O6" s="20">
        <f>SUM(O7:O8)</f>
        <v>0</v>
      </c>
      <c r="P6" s="20">
        <f>SUM(P7:P8)</f>
        <v>0</v>
      </c>
      <c r="Q6" s="20">
        <f t="shared" ref="Q6:Q21" si="6">P6-O6</f>
        <v>0</v>
      </c>
      <c r="R6" s="21">
        <f t="shared" ref="R6:R21" si="7">IF(O6=0,0,Q6/O6)</f>
        <v>0</v>
      </c>
      <c r="S6" s="20">
        <f>SUM(S7:S8)</f>
        <v>0</v>
      </c>
      <c r="T6" s="20">
        <f>SUM(T7:T8)</f>
        <v>0</v>
      </c>
      <c r="U6" s="20">
        <f t="shared" ref="U6:U21" si="8">T6-S6</f>
        <v>0</v>
      </c>
      <c r="V6" s="21">
        <f t="shared" ref="V6:V21" si="9">IF(S6=0,0,U6/S6)</f>
        <v>0</v>
      </c>
      <c r="W6" s="20">
        <f>SUM(W7:W8)</f>
        <v>0</v>
      </c>
      <c r="X6" s="20">
        <f>SUM(X7:X8)</f>
        <v>0</v>
      </c>
      <c r="Y6" s="20">
        <f t="shared" ref="Y6:Y21" si="10">X6-W6</f>
        <v>0</v>
      </c>
      <c r="Z6" s="21">
        <f t="shared" ref="Z6:Z21" si="11">IF(W6=0,0,Y6/W6)</f>
        <v>0</v>
      </c>
      <c r="AA6" s="20">
        <f>SUM(AA7:AA8)</f>
        <v>0</v>
      </c>
      <c r="AB6" s="20">
        <f>SUM(AB7:AB8)</f>
        <v>0</v>
      </c>
      <c r="AC6" s="20">
        <f t="shared" ref="AC6:AC21" si="12">AB6-AA6</f>
        <v>0</v>
      </c>
      <c r="AD6" s="21">
        <f t="shared" ref="AD6:AD21" si="13">IF(AA6=0,0,AC6/AA6)</f>
        <v>0</v>
      </c>
      <c r="AE6" s="20">
        <f>SUM(AE7:AE8)</f>
        <v>0</v>
      </c>
      <c r="AF6" s="20">
        <f>SUM(AF7:AF8)</f>
        <v>0</v>
      </c>
      <c r="AG6" s="20">
        <f t="shared" ref="AG6:AG21" si="14">AF6-AE6</f>
        <v>0</v>
      </c>
      <c r="AH6" s="21">
        <f t="shared" ref="AH6:AH21" si="15">IF(AE6=0,0,AG6/AE6)</f>
        <v>0</v>
      </c>
      <c r="AI6" s="20">
        <f>SUM(AI7:AI8)</f>
        <v>0</v>
      </c>
      <c r="AJ6" s="20">
        <f>SUM(AJ7:AJ8)</f>
        <v>0</v>
      </c>
      <c r="AK6" s="20">
        <f t="shared" ref="AK6:AK21" si="16">AJ6-AI6</f>
        <v>0</v>
      </c>
      <c r="AL6" s="21">
        <f t="shared" ref="AL6:AL21" si="17">IF(AI6=0,0,AK6/AI6)</f>
        <v>0</v>
      </c>
      <c r="AM6" s="20">
        <f>SUM(AM7:AM8)</f>
        <v>0</v>
      </c>
      <c r="AN6" s="20">
        <f>SUM(AN7:AN8)</f>
        <v>0</v>
      </c>
      <c r="AO6" s="20">
        <f t="shared" ref="AO6:AO21" si="18">AN6-AM6</f>
        <v>0</v>
      </c>
      <c r="AP6" s="21">
        <f t="shared" ref="AP6:AP21" si="19">IF(AM6=0,0,AO6/AM6)</f>
        <v>0</v>
      </c>
      <c r="AQ6" s="20">
        <f>SUM(AQ7:AQ8)</f>
        <v>0</v>
      </c>
      <c r="AR6" s="20">
        <f>SUM(AR7:AR8)</f>
        <v>0</v>
      </c>
      <c r="AS6" s="20">
        <f t="shared" ref="AS6:AS21" si="20">AR6-AQ6</f>
        <v>0</v>
      </c>
      <c r="AT6" s="21">
        <f t="shared" ref="AT6:AT21" si="21">IF(AQ6=0,0,AS6/AQ6)</f>
        <v>0</v>
      </c>
      <c r="AU6" s="20">
        <f>SUM(AU7:AU8)</f>
        <v>0</v>
      </c>
      <c r="AV6" s="20">
        <f>SUM(AV7:AV8)</f>
        <v>0</v>
      </c>
      <c r="AW6" s="20">
        <f t="shared" ref="AW6:AW21" si="22">AV6-AU6</f>
        <v>0</v>
      </c>
      <c r="AX6" s="21">
        <f t="shared" ref="AX6:AX21" si="23">IF(AU6=0,0,AW6/AU6)</f>
        <v>0</v>
      </c>
      <c r="AY6" s="20">
        <f t="shared" ref="AY6:AY21" si="24">C6+G6+K6+O6+S6+W6+AA6+AE6+AI6+AM6+AQ6+AU6</f>
        <v>6800000</v>
      </c>
      <c r="AZ6" s="20">
        <f t="shared" ref="AZ6:AZ21" si="25">D6+H6+L6+P6+T6+X6+AB6+AF6+AJ6+AN6+AR6+AV6</f>
        <v>19025000</v>
      </c>
      <c r="BA6" s="20">
        <f t="shared" ref="BA6:BA21" si="26">AZ6-AY6</f>
        <v>12225000</v>
      </c>
      <c r="BB6" s="21">
        <f t="shared" ref="BB6:BB21" si="27">IF(AY6=0,0,BA6/AY6)</f>
        <v>1.7977941176470589</v>
      </c>
    </row>
    <row r="7" spans="1:54" x14ac:dyDescent="0.25">
      <c r="A7" s="2" t="s">
        <v>9</v>
      </c>
      <c r="B7" s="27" t="str">
        <f>Supuestos!B12</f>
        <v>Prensa y Redes (Teaser + PR + Promo apertura)</v>
      </c>
      <c r="C7" s="34">
        <f>Supuestos!$T12/Supuestos!$Q12*Supuestos!E12</f>
        <v>4800000</v>
      </c>
      <c r="D7" s="34">
        <f>Supuestos!$C12/Supuestos!$Q12*Supuestos!E12*Supuestos!$D12*Supuestos!E$7</f>
        <v>10800000</v>
      </c>
      <c r="E7" s="37">
        <f t="shared" si="0"/>
        <v>6000000</v>
      </c>
      <c r="F7" s="43">
        <f t="shared" si="1"/>
        <v>1.25</v>
      </c>
      <c r="G7" s="34">
        <f>Supuestos!$T12/Supuestos!$Q12*Supuestos!F12</f>
        <v>0</v>
      </c>
      <c r="H7" s="34">
        <f>Supuestos!$C12/Supuestos!$Q12*Supuestos!F12*Supuestos!$D12*Supuestos!F$7</f>
        <v>0</v>
      </c>
      <c r="I7" s="37">
        <f t="shared" si="2"/>
        <v>0</v>
      </c>
      <c r="J7" s="43">
        <f t="shared" si="3"/>
        <v>0</v>
      </c>
      <c r="K7" s="34">
        <f>Supuestos!$T12/Supuestos!$Q12*Supuestos!G12</f>
        <v>0</v>
      </c>
      <c r="L7" s="34">
        <f>Supuestos!$C12/Supuestos!$Q12*Supuestos!G12*Supuestos!$D12*Supuestos!G$7</f>
        <v>0</v>
      </c>
      <c r="M7" s="37">
        <f t="shared" si="4"/>
        <v>0</v>
      </c>
      <c r="N7" s="43">
        <f t="shared" si="5"/>
        <v>0</v>
      </c>
      <c r="O7" s="34">
        <f>Supuestos!$T12/Supuestos!$Q12*Supuestos!H12</f>
        <v>0</v>
      </c>
      <c r="P7" s="34">
        <f>Supuestos!$C12/Supuestos!$Q12*Supuestos!H12*Supuestos!$D12*Supuestos!H$7</f>
        <v>0</v>
      </c>
      <c r="Q7" s="37">
        <f t="shared" si="6"/>
        <v>0</v>
      </c>
      <c r="R7" s="43">
        <f t="shared" si="7"/>
        <v>0</v>
      </c>
      <c r="S7" s="34">
        <f>Supuestos!$T12/Supuestos!$Q12*Supuestos!I12</f>
        <v>0</v>
      </c>
      <c r="T7" s="34">
        <f>Supuestos!$C12/Supuestos!$Q12*Supuestos!I12*Supuestos!$D12*Supuestos!I$7</f>
        <v>0</v>
      </c>
      <c r="U7" s="37">
        <f t="shared" si="8"/>
        <v>0</v>
      </c>
      <c r="V7" s="43">
        <f t="shared" si="9"/>
        <v>0</v>
      </c>
      <c r="W7" s="34">
        <f>Supuestos!$T12/Supuestos!$Q12*Supuestos!J12</f>
        <v>0</v>
      </c>
      <c r="X7" s="34">
        <f>Supuestos!$C12/Supuestos!$Q12*Supuestos!J12*Supuestos!$D12*Supuestos!J$7</f>
        <v>0</v>
      </c>
      <c r="Y7" s="37">
        <f t="shared" si="10"/>
        <v>0</v>
      </c>
      <c r="Z7" s="43">
        <f t="shared" si="11"/>
        <v>0</v>
      </c>
      <c r="AA7" s="34">
        <f>Supuestos!$T12/Supuestos!$Q12*Supuestos!K12</f>
        <v>0</v>
      </c>
      <c r="AB7" s="34">
        <f>Supuestos!$C12/Supuestos!$Q12*Supuestos!K12*Supuestos!$D12*Supuestos!K$7</f>
        <v>0</v>
      </c>
      <c r="AC7" s="37">
        <f t="shared" si="12"/>
        <v>0</v>
      </c>
      <c r="AD7" s="43">
        <f t="shared" si="13"/>
        <v>0</v>
      </c>
      <c r="AE7" s="34">
        <f>Supuestos!$T12/Supuestos!$Q12*Supuestos!L12</f>
        <v>0</v>
      </c>
      <c r="AF7" s="34">
        <f>Supuestos!$C12/Supuestos!$Q12*Supuestos!L12*Supuestos!$D12*Supuestos!L$7</f>
        <v>0</v>
      </c>
      <c r="AG7" s="37">
        <f t="shared" si="14"/>
        <v>0</v>
      </c>
      <c r="AH7" s="43">
        <f t="shared" si="15"/>
        <v>0</v>
      </c>
      <c r="AI7" s="34">
        <f>Supuestos!$T12/Supuestos!$Q12*Supuestos!M12</f>
        <v>0</v>
      </c>
      <c r="AJ7" s="34">
        <f>Supuestos!$C12/Supuestos!$Q12*Supuestos!M12*Supuestos!$D12*Supuestos!M$7</f>
        <v>0</v>
      </c>
      <c r="AK7" s="37">
        <f t="shared" si="16"/>
        <v>0</v>
      </c>
      <c r="AL7" s="43">
        <f t="shared" si="17"/>
        <v>0</v>
      </c>
      <c r="AM7" s="34">
        <f>Supuestos!$T12/Supuestos!$Q12*Supuestos!N12</f>
        <v>0</v>
      </c>
      <c r="AN7" s="34">
        <f>Supuestos!$C12/Supuestos!$Q12*Supuestos!N12*Supuestos!$D12*Supuestos!N$7</f>
        <v>0</v>
      </c>
      <c r="AO7" s="37">
        <f t="shared" si="18"/>
        <v>0</v>
      </c>
      <c r="AP7" s="43">
        <f t="shared" si="19"/>
        <v>0</v>
      </c>
      <c r="AQ7" s="34">
        <f>Supuestos!$T12/Supuestos!$Q12*Supuestos!O12</f>
        <v>0</v>
      </c>
      <c r="AR7" s="34">
        <f>Supuestos!$C12/Supuestos!$Q12*Supuestos!O12*Supuestos!$D12*Supuestos!O$7</f>
        <v>0</v>
      </c>
      <c r="AS7" s="37">
        <f t="shared" si="20"/>
        <v>0</v>
      </c>
      <c r="AT7" s="43">
        <f t="shared" si="21"/>
        <v>0</v>
      </c>
      <c r="AU7" s="34">
        <f>Supuestos!$T12/Supuestos!$Q12*Supuestos!P12</f>
        <v>0</v>
      </c>
      <c r="AV7" s="34">
        <f>Supuestos!$C12/Supuestos!$Q12*Supuestos!P12*Supuestos!$D12*Supuestos!P$7</f>
        <v>0</v>
      </c>
      <c r="AW7" s="37">
        <f t="shared" si="22"/>
        <v>0</v>
      </c>
      <c r="AX7" s="43">
        <f t="shared" si="23"/>
        <v>0</v>
      </c>
      <c r="AY7" s="37">
        <f t="shared" si="24"/>
        <v>4800000</v>
      </c>
      <c r="AZ7" s="37">
        <f t="shared" si="25"/>
        <v>10800000</v>
      </c>
      <c r="BA7" s="37">
        <f t="shared" si="26"/>
        <v>6000000</v>
      </c>
      <c r="BB7" s="43">
        <f t="shared" si="27"/>
        <v>1.25</v>
      </c>
    </row>
    <row r="8" spans="1:54" x14ac:dyDescent="0.25">
      <c r="A8" s="2" t="s">
        <v>9</v>
      </c>
      <c r="B8" s="27" t="str">
        <f>Supuestos!B13</f>
        <v>Volantes, degustaciones y garantía de satisfacción</v>
      </c>
      <c r="C8" s="34">
        <f>Supuestos!$T13/Supuestos!$Q13*Supuestos!E13</f>
        <v>1000000</v>
      </c>
      <c r="D8" s="34">
        <f>Supuestos!$C13/Supuestos!$Q13*Supuestos!E13*Supuestos!$D13*Supuestos!E$7</f>
        <v>4200000</v>
      </c>
      <c r="E8" s="37">
        <f t="shared" si="0"/>
        <v>3200000</v>
      </c>
      <c r="F8" s="43">
        <f t="shared" si="1"/>
        <v>3.2</v>
      </c>
      <c r="G8" s="34">
        <f>Supuestos!$T13/Supuestos!$Q13*Supuestos!F13</f>
        <v>1000000</v>
      </c>
      <c r="H8" s="34">
        <f>Supuestos!$C13/Supuestos!$Q13*Supuestos!F13*Supuestos!$D13*Supuestos!F$7</f>
        <v>4024999.9999999995</v>
      </c>
      <c r="I8" s="37">
        <f t="shared" si="2"/>
        <v>3024999.9999999995</v>
      </c>
      <c r="J8" s="43">
        <f t="shared" si="3"/>
        <v>3.0249999999999995</v>
      </c>
      <c r="K8" s="34">
        <f>Supuestos!$T13/Supuestos!$Q13*Supuestos!G13</f>
        <v>0</v>
      </c>
      <c r="L8" s="34">
        <f>Supuestos!$C13/Supuestos!$Q13*Supuestos!G13*Supuestos!$D13*Supuestos!G$7</f>
        <v>0</v>
      </c>
      <c r="M8" s="37">
        <f t="shared" si="4"/>
        <v>0</v>
      </c>
      <c r="N8" s="43">
        <f t="shared" si="5"/>
        <v>0</v>
      </c>
      <c r="O8" s="34">
        <f>Supuestos!$T13/Supuestos!$Q13*Supuestos!H13</f>
        <v>0</v>
      </c>
      <c r="P8" s="34">
        <f>Supuestos!$C13/Supuestos!$Q13*Supuestos!H13*Supuestos!$D13*Supuestos!H$7</f>
        <v>0</v>
      </c>
      <c r="Q8" s="37">
        <f t="shared" si="6"/>
        <v>0</v>
      </c>
      <c r="R8" s="43">
        <f t="shared" si="7"/>
        <v>0</v>
      </c>
      <c r="S8" s="34">
        <f>Supuestos!$T13/Supuestos!$Q13*Supuestos!I13</f>
        <v>0</v>
      </c>
      <c r="T8" s="34">
        <f>Supuestos!$C13/Supuestos!$Q13*Supuestos!I13*Supuestos!$D13*Supuestos!I$7</f>
        <v>0</v>
      </c>
      <c r="U8" s="37">
        <f t="shared" si="8"/>
        <v>0</v>
      </c>
      <c r="V8" s="43">
        <f t="shared" si="9"/>
        <v>0</v>
      </c>
      <c r="W8" s="34">
        <f>Supuestos!$T13/Supuestos!$Q13*Supuestos!J13</f>
        <v>0</v>
      </c>
      <c r="X8" s="34">
        <f>Supuestos!$C13/Supuestos!$Q13*Supuestos!J13*Supuestos!$D13*Supuestos!J$7</f>
        <v>0</v>
      </c>
      <c r="Y8" s="37">
        <f t="shared" si="10"/>
        <v>0</v>
      </c>
      <c r="Z8" s="43">
        <f t="shared" si="11"/>
        <v>0</v>
      </c>
      <c r="AA8" s="34">
        <f>Supuestos!$T13/Supuestos!$Q13*Supuestos!K13</f>
        <v>0</v>
      </c>
      <c r="AB8" s="34">
        <f>Supuestos!$C13/Supuestos!$Q13*Supuestos!K13*Supuestos!$D13*Supuestos!K$7</f>
        <v>0</v>
      </c>
      <c r="AC8" s="37">
        <f t="shared" si="12"/>
        <v>0</v>
      </c>
      <c r="AD8" s="43">
        <f t="shared" si="13"/>
        <v>0</v>
      </c>
      <c r="AE8" s="34">
        <f>Supuestos!$T13/Supuestos!$Q13*Supuestos!L13</f>
        <v>0</v>
      </c>
      <c r="AF8" s="34">
        <f>Supuestos!$C13/Supuestos!$Q13*Supuestos!L13*Supuestos!$D13*Supuestos!L$7</f>
        <v>0</v>
      </c>
      <c r="AG8" s="37">
        <f t="shared" si="14"/>
        <v>0</v>
      </c>
      <c r="AH8" s="43">
        <f t="shared" si="15"/>
        <v>0</v>
      </c>
      <c r="AI8" s="34">
        <f>Supuestos!$T13/Supuestos!$Q13*Supuestos!M13</f>
        <v>0</v>
      </c>
      <c r="AJ8" s="34">
        <f>Supuestos!$C13/Supuestos!$Q13*Supuestos!M13*Supuestos!$D13*Supuestos!M$7</f>
        <v>0</v>
      </c>
      <c r="AK8" s="37">
        <f t="shared" si="16"/>
        <v>0</v>
      </c>
      <c r="AL8" s="43">
        <f t="shared" si="17"/>
        <v>0</v>
      </c>
      <c r="AM8" s="34">
        <f>Supuestos!$T13/Supuestos!$Q13*Supuestos!N13</f>
        <v>0</v>
      </c>
      <c r="AN8" s="34">
        <f>Supuestos!$C13/Supuestos!$Q13*Supuestos!N13*Supuestos!$D13*Supuestos!N$7</f>
        <v>0</v>
      </c>
      <c r="AO8" s="37">
        <f t="shared" si="18"/>
        <v>0</v>
      </c>
      <c r="AP8" s="43">
        <f t="shared" si="19"/>
        <v>0</v>
      </c>
      <c r="AQ8" s="34">
        <f>Supuestos!$T13/Supuestos!$Q13*Supuestos!O13</f>
        <v>0</v>
      </c>
      <c r="AR8" s="34">
        <f>Supuestos!$C13/Supuestos!$Q13*Supuestos!O13*Supuestos!$D13*Supuestos!O$7</f>
        <v>0</v>
      </c>
      <c r="AS8" s="37">
        <f t="shared" si="20"/>
        <v>0</v>
      </c>
      <c r="AT8" s="43">
        <f t="shared" si="21"/>
        <v>0</v>
      </c>
      <c r="AU8" s="34">
        <f>Supuestos!$T13/Supuestos!$Q13*Supuestos!P13</f>
        <v>0</v>
      </c>
      <c r="AV8" s="34">
        <f>Supuestos!$C13/Supuestos!$Q13*Supuestos!P13*Supuestos!$D13*Supuestos!P$7</f>
        <v>0</v>
      </c>
      <c r="AW8" s="37">
        <f t="shared" si="22"/>
        <v>0</v>
      </c>
      <c r="AX8" s="43">
        <f t="shared" si="23"/>
        <v>0</v>
      </c>
      <c r="AY8" s="37">
        <f t="shared" si="24"/>
        <v>2000000</v>
      </c>
      <c r="AZ8" s="37">
        <f t="shared" si="25"/>
        <v>8225000</v>
      </c>
      <c r="BA8" s="37">
        <f t="shared" si="26"/>
        <v>6225000</v>
      </c>
      <c r="BB8" s="43">
        <f t="shared" si="27"/>
        <v>3.1124999999999998</v>
      </c>
    </row>
    <row r="9" spans="1:54" x14ac:dyDescent="0.25">
      <c r="A9" s="19" t="s">
        <v>47</v>
      </c>
      <c r="B9" s="19"/>
      <c r="C9" s="20">
        <f>SUM(C10:C13)</f>
        <v>3050000</v>
      </c>
      <c r="D9" s="20">
        <f>SUM(D10:D13)</f>
        <v>12720000</v>
      </c>
      <c r="E9" s="20">
        <f t="shared" si="0"/>
        <v>9670000</v>
      </c>
      <c r="F9" s="21">
        <f t="shared" si="1"/>
        <v>3.1704918032786886</v>
      </c>
      <c r="G9" s="20">
        <f>SUM(G10:G13)</f>
        <v>3777272.7272727275</v>
      </c>
      <c r="H9" s="20">
        <f>SUM(H10:H13)</f>
        <v>16371818.181818182</v>
      </c>
      <c r="I9" s="20">
        <f t="shared" si="2"/>
        <v>12594545.454545453</v>
      </c>
      <c r="J9" s="21">
        <f t="shared" si="3"/>
        <v>3.3342960288808658</v>
      </c>
      <c r="K9" s="20">
        <f>SUM(K10:K13)</f>
        <v>3777272.7272727275</v>
      </c>
      <c r="L9" s="20">
        <f>SUM(L10:L13)</f>
        <v>12812727.272727273</v>
      </c>
      <c r="M9" s="20">
        <f t="shared" si="4"/>
        <v>9035454.5454545468</v>
      </c>
      <c r="N9" s="21">
        <f t="shared" si="5"/>
        <v>2.3920577617328522</v>
      </c>
      <c r="O9" s="20">
        <f>SUM(O10:O13)</f>
        <v>3777272.7272727275</v>
      </c>
      <c r="P9" s="20">
        <f>SUM(P10:P13)</f>
        <v>12100909.090909092</v>
      </c>
      <c r="Q9" s="20">
        <f t="shared" si="6"/>
        <v>8323636.3636363642</v>
      </c>
      <c r="R9" s="21">
        <f t="shared" si="7"/>
        <v>2.2036101083032493</v>
      </c>
      <c r="S9" s="20">
        <f>SUM(S10:S13)</f>
        <v>3777272.7272727275</v>
      </c>
      <c r="T9" s="20">
        <f>SUM(T10:T13)</f>
        <v>14948181.818181818</v>
      </c>
      <c r="U9" s="20">
        <f t="shared" si="8"/>
        <v>11170909.09090909</v>
      </c>
      <c r="V9" s="21">
        <f t="shared" si="9"/>
        <v>2.95740072202166</v>
      </c>
      <c r="W9" s="20">
        <f>SUM(W10:W13)</f>
        <v>3777272.7272727275</v>
      </c>
      <c r="X9" s="20">
        <f>SUM(X10:X13)</f>
        <v>13524545.454545455</v>
      </c>
      <c r="Y9" s="20">
        <f t="shared" si="10"/>
        <v>9747272.7272727266</v>
      </c>
      <c r="Z9" s="21">
        <f t="shared" si="11"/>
        <v>2.5805054151624547</v>
      </c>
      <c r="AA9" s="20">
        <f>SUM(AA10:AA13)</f>
        <v>3777272.7272727275</v>
      </c>
      <c r="AB9" s="20">
        <f>SUM(AB10:AB13)</f>
        <v>14236363.636363637</v>
      </c>
      <c r="AC9" s="20">
        <f t="shared" si="12"/>
        <v>10459090.90909091</v>
      </c>
      <c r="AD9" s="21">
        <f t="shared" si="13"/>
        <v>2.768953068592058</v>
      </c>
      <c r="AE9" s="20">
        <f>SUM(AE10:AE13)</f>
        <v>3777272.7272727275</v>
      </c>
      <c r="AF9" s="20">
        <f>SUM(AF10:AF13)</f>
        <v>14948181.818181818</v>
      </c>
      <c r="AG9" s="20">
        <f t="shared" si="14"/>
        <v>11170909.09090909</v>
      </c>
      <c r="AH9" s="21">
        <f t="shared" si="15"/>
        <v>2.95740072202166</v>
      </c>
      <c r="AI9" s="20">
        <f>SUM(AI10:AI13)</f>
        <v>3777272.7272727275</v>
      </c>
      <c r="AJ9" s="20">
        <f>SUM(AJ10:AJ13)</f>
        <v>15660000</v>
      </c>
      <c r="AK9" s="20">
        <f t="shared" si="16"/>
        <v>11882727.272727273</v>
      </c>
      <c r="AL9" s="21">
        <f t="shared" si="17"/>
        <v>3.1458483754512634</v>
      </c>
      <c r="AM9" s="20">
        <f>SUM(AM10:AM13)</f>
        <v>3777272.7272727275</v>
      </c>
      <c r="AN9" s="20">
        <f>SUM(AN10:AN13)</f>
        <v>15660000</v>
      </c>
      <c r="AO9" s="20">
        <f t="shared" si="18"/>
        <v>11882727.272727273</v>
      </c>
      <c r="AP9" s="21">
        <f t="shared" si="19"/>
        <v>3.1458483754512634</v>
      </c>
      <c r="AQ9" s="20">
        <f>SUM(AQ10:AQ13)</f>
        <v>3777272.7272727275</v>
      </c>
      <c r="AR9" s="20">
        <f>SUM(AR10:AR13)</f>
        <v>16371818.181818182</v>
      </c>
      <c r="AS9" s="20">
        <f t="shared" si="20"/>
        <v>12594545.454545453</v>
      </c>
      <c r="AT9" s="21">
        <f t="shared" si="21"/>
        <v>3.3342960288808658</v>
      </c>
      <c r="AU9" s="20">
        <f>SUM(AU10:AU13)</f>
        <v>3777272.7272727275</v>
      </c>
      <c r="AV9" s="20">
        <f>SUM(AV10:AV13)</f>
        <v>18507272.727272727</v>
      </c>
      <c r="AW9" s="20">
        <f t="shared" si="22"/>
        <v>14730000</v>
      </c>
      <c r="AX9" s="21">
        <f t="shared" si="23"/>
        <v>3.899638989169675</v>
      </c>
      <c r="AY9" s="20">
        <f t="shared" si="24"/>
        <v>44600000</v>
      </c>
      <c r="AZ9" s="20">
        <f t="shared" si="25"/>
        <v>177861818.18181816</v>
      </c>
      <c r="BA9" s="20">
        <f t="shared" si="26"/>
        <v>133261818.18181816</v>
      </c>
      <c r="BB9" s="21">
        <f t="shared" si="27"/>
        <v>2.9879331430900931</v>
      </c>
    </row>
    <row r="10" spans="1:54" x14ac:dyDescent="0.25">
      <c r="A10" s="2" t="s">
        <v>10</v>
      </c>
      <c r="B10" s="27" t="str">
        <f>Supuestos!B14</f>
        <v>Contenido orgánico IG/TikTok/Facebook</v>
      </c>
      <c r="C10" s="34">
        <f>Supuestos!$T14/Supuestos!$Q14*Supuestos!E14</f>
        <v>950000</v>
      </c>
      <c r="D10" s="34">
        <f>Supuestos!$C14/Supuestos!$Q14*Supuestos!E14*Supuestos!$D14*Supuestos!E$7</f>
        <v>2400000</v>
      </c>
      <c r="E10" s="37">
        <f t="shared" si="0"/>
        <v>1450000</v>
      </c>
      <c r="F10" s="43">
        <f t="shared" si="1"/>
        <v>1.5263157894736843</v>
      </c>
      <c r="G10" s="34">
        <f>Supuestos!$T14/Supuestos!$Q14*Supuestos!F14</f>
        <v>950000</v>
      </c>
      <c r="H10" s="34">
        <f>Supuestos!$C14/Supuestos!$Q14*Supuestos!F14*Supuestos!$D14*Supuestos!F$7</f>
        <v>2300000</v>
      </c>
      <c r="I10" s="37">
        <f t="shared" si="2"/>
        <v>1350000</v>
      </c>
      <c r="J10" s="43">
        <f t="shared" si="3"/>
        <v>1.4210526315789473</v>
      </c>
      <c r="K10" s="34">
        <f>Supuestos!$T14/Supuestos!$Q14*Supuestos!G14</f>
        <v>950000</v>
      </c>
      <c r="L10" s="34">
        <f>Supuestos!$C14/Supuestos!$Q14*Supuestos!G14*Supuestos!$D14*Supuestos!G$7</f>
        <v>1800000</v>
      </c>
      <c r="M10" s="37">
        <f t="shared" si="4"/>
        <v>850000</v>
      </c>
      <c r="N10" s="43">
        <f t="shared" si="5"/>
        <v>0.89473684210526316</v>
      </c>
      <c r="O10" s="34">
        <f>Supuestos!$T14/Supuestos!$Q14*Supuestos!H14</f>
        <v>950000</v>
      </c>
      <c r="P10" s="34">
        <f>Supuestos!$C14/Supuestos!$Q14*Supuestos!H14*Supuestos!$D14*Supuestos!H$7</f>
        <v>1700000</v>
      </c>
      <c r="Q10" s="37">
        <f t="shared" si="6"/>
        <v>750000</v>
      </c>
      <c r="R10" s="43">
        <f t="shared" si="7"/>
        <v>0.78947368421052633</v>
      </c>
      <c r="S10" s="34">
        <f>Supuestos!$T14/Supuestos!$Q14*Supuestos!I14</f>
        <v>950000</v>
      </c>
      <c r="T10" s="34">
        <f>Supuestos!$C14/Supuestos!$Q14*Supuestos!I14*Supuestos!$D14*Supuestos!I$7</f>
        <v>2100000</v>
      </c>
      <c r="U10" s="37">
        <f t="shared" si="8"/>
        <v>1150000</v>
      </c>
      <c r="V10" s="43">
        <f t="shared" si="9"/>
        <v>1.2105263157894737</v>
      </c>
      <c r="W10" s="34">
        <f>Supuestos!$T14/Supuestos!$Q14*Supuestos!J14</f>
        <v>950000</v>
      </c>
      <c r="X10" s="34">
        <f>Supuestos!$C14/Supuestos!$Q14*Supuestos!J14*Supuestos!$D14*Supuestos!J$7</f>
        <v>1900000</v>
      </c>
      <c r="Y10" s="37">
        <f t="shared" si="10"/>
        <v>950000</v>
      </c>
      <c r="Z10" s="43">
        <f t="shared" si="11"/>
        <v>1</v>
      </c>
      <c r="AA10" s="34">
        <f>Supuestos!$T14/Supuestos!$Q14*Supuestos!K14</f>
        <v>950000</v>
      </c>
      <c r="AB10" s="34">
        <f>Supuestos!$C14/Supuestos!$Q14*Supuestos!K14*Supuestos!$D14*Supuestos!K$7</f>
        <v>2000000</v>
      </c>
      <c r="AC10" s="37">
        <f t="shared" si="12"/>
        <v>1050000</v>
      </c>
      <c r="AD10" s="43">
        <f t="shared" si="13"/>
        <v>1.1052631578947369</v>
      </c>
      <c r="AE10" s="34">
        <f>Supuestos!$T14/Supuestos!$Q14*Supuestos!L14</f>
        <v>950000</v>
      </c>
      <c r="AF10" s="34">
        <f>Supuestos!$C14/Supuestos!$Q14*Supuestos!L14*Supuestos!$D14*Supuestos!L$7</f>
        <v>2100000</v>
      </c>
      <c r="AG10" s="37">
        <f t="shared" si="14"/>
        <v>1150000</v>
      </c>
      <c r="AH10" s="43">
        <f t="shared" si="15"/>
        <v>1.2105263157894737</v>
      </c>
      <c r="AI10" s="34">
        <f>Supuestos!$T14/Supuestos!$Q14*Supuestos!M14</f>
        <v>950000</v>
      </c>
      <c r="AJ10" s="34">
        <f>Supuestos!$C14/Supuestos!$Q14*Supuestos!M14*Supuestos!$D14*Supuestos!M$7</f>
        <v>2200000</v>
      </c>
      <c r="AK10" s="37">
        <f t="shared" si="16"/>
        <v>1250000</v>
      </c>
      <c r="AL10" s="43">
        <f t="shared" si="17"/>
        <v>1.3157894736842106</v>
      </c>
      <c r="AM10" s="34">
        <f>Supuestos!$T14/Supuestos!$Q14*Supuestos!N14</f>
        <v>950000</v>
      </c>
      <c r="AN10" s="34">
        <f>Supuestos!$C14/Supuestos!$Q14*Supuestos!N14*Supuestos!$D14*Supuestos!N$7</f>
        <v>2200000</v>
      </c>
      <c r="AO10" s="37">
        <f t="shared" si="18"/>
        <v>1250000</v>
      </c>
      <c r="AP10" s="43">
        <f t="shared" si="19"/>
        <v>1.3157894736842106</v>
      </c>
      <c r="AQ10" s="34">
        <f>Supuestos!$T14/Supuestos!$Q14*Supuestos!O14</f>
        <v>950000</v>
      </c>
      <c r="AR10" s="34">
        <f>Supuestos!$C14/Supuestos!$Q14*Supuestos!O14*Supuestos!$D14*Supuestos!O$7</f>
        <v>2300000</v>
      </c>
      <c r="AS10" s="37">
        <f t="shared" si="20"/>
        <v>1350000</v>
      </c>
      <c r="AT10" s="43">
        <f t="shared" si="21"/>
        <v>1.4210526315789473</v>
      </c>
      <c r="AU10" s="34">
        <f>Supuestos!$T14/Supuestos!$Q14*Supuestos!P14</f>
        <v>950000</v>
      </c>
      <c r="AV10" s="34">
        <f>Supuestos!$C14/Supuestos!$Q14*Supuestos!P14*Supuestos!$D14*Supuestos!P$7</f>
        <v>2600000</v>
      </c>
      <c r="AW10" s="37">
        <f t="shared" si="22"/>
        <v>1650000</v>
      </c>
      <c r="AX10" s="43">
        <f t="shared" si="23"/>
        <v>1.736842105263158</v>
      </c>
      <c r="AY10" s="37">
        <f t="shared" si="24"/>
        <v>11400000</v>
      </c>
      <c r="AZ10" s="37">
        <f t="shared" si="25"/>
        <v>25600000</v>
      </c>
      <c r="BA10" s="37">
        <f t="shared" si="26"/>
        <v>14200000</v>
      </c>
      <c r="BB10" s="43">
        <f t="shared" si="27"/>
        <v>1.2456140350877194</v>
      </c>
    </row>
    <row r="11" spans="1:54" x14ac:dyDescent="0.25">
      <c r="A11" s="2" t="s">
        <v>10</v>
      </c>
      <c r="B11" s="27" t="str">
        <f>Supuestos!B15</f>
        <v>Google Business Profile (SEO local)</v>
      </c>
      <c r="C11" s="34">
        <f>Supuestos!$T15/Supuestos!$Q15*Supuestos!E15</f>
        <v>100000</v>
      </c>
      <c r="D11" s="34">
        <f>Supuestos!$C15/Supuestos!$Q15*Supuestos!E15*Supuestos!$D15*Supuestos!E$7</f>
        <v>720000</v>
      </c>
      <c r="E11" s="37">
        <f t="shared" si="0"/>
        <v>620000</v>
      </c>
      <c r="F11" s="43">
        <f t="shared" si="1"/>
        <v>6.2</v>
      </c>
      <c r="G11" s="34">
        <f>Supuestos!$T15/Supuestos!$Q15*Supuestos!F15</f>
        <v>100000</v>
      </c>
      <c r="H11" s="34">
        <f>Supuestos!$C15/Supuestos!$Q15*Supuestos!F15*Supuestos!$D15*Supuestos!F$7</f>
        <v>690000</v>
      </c>
      <c r="I11" s="37">
        <f t="shared" si="2"/>
        <v>590000</v>
      </c>
      <c r="J11" s="43">
        <f t="shared" si="3"/>
        <v>5.9</v>
      </c>
      <c r="K11" s="34">
        <f>Supuestos!$T15/Supuestos!$Q15*Supuestos!G15</f>
        <v>100000</v>
      </c>
      <c r="L11" s="34">
        <f>Supuestos!$C15/Supuestos!$Q15*Supuestos!G15*Supuestos!$D15*Supuestos!G$7</f>
        <v>540000</v>
      </c>
      <c r="M11" s="37">
        <f t="shared" si="4"/>
        <v>440000</v>
      </c>
      <c r="N11" s="43">
        <f t="shared" si="5"/>
        <v>4.4000000000000004</v>
      </c>
      <c r="O11" s="34">
        <f>Supuestos!$T15/Supuestos!$Q15*Supuestos!H15</f>
        <v>100000</v>
      </c>
      <c r="P11" s="34">
        <f>Supuestos!$C15/Supuestos!$Q15*Supuestos!H15*Supuestos!$D15*Supuestos!H$7</f>
        <v>510000</v>
      </c>
      <c r="Q11" s="37">
        <f t="shared" si="6"/>
        <v>410000</v>
      </c>
      <c r="R11" s="43">
        <f t="shared" si="7"/>
        <v>4.0999999999999996</v>
      </c>
      <c r="S11" s="34">
        <f>Supuestos!$T15/Supuestos!$Q15*Supuestos!I15</f>
        <v>100000</v>
      </c>
      <c r="T11" s="34">
        <f>Supuestos!$C15/Supuestos!$Q15*Supuestos!I15*Supuestos!$D15*Supuestos!I$7</f>
        <v>630000</v>
      </c>
      <c r="U11" s="37">
        <f t="shared" si="8"/>
        <v>530000</v>
      </c>
      <c r="V11" s="43">
        <f t="shared" si="9"/>
        <v>5.3</v>
      </c>
      <c r="W11" s="34">
        <f>Supuestos!$T15/Supuestos!$Q15*Supuestos!J15</f>
        <v>100000</v>
      </c>
      <c r="X11" s="34">
        <f>Supuestos!$C15/Supuestos!$Q15*Supuestos!J15*Supuestos!$D15*Supuestos!J$7</f>
        <v>570000</v>
      </c>
      <c r="Y11" s="37">
        <f t="shared" si="10"/>
        <v>470000</v>
      </c>
      <c r="Z11" s="43">
        <f t="shared" si="11"/>
        <v>4.7</v>
      </c>
      <c r="AA11" s="34">
        <f>Supuestos!$T15/Supuestos!$Q15*Supuestos!K15</f>
        <v>100000</v>
      </c>
      <c r="AB11" s="34">
        <f>Supuestos!$C15/Supuestos!$Q15*Supuestos!K15*Supuestos!$D15*Supuestos!K$7</f>
        <v>600000</v>
      </c>
      <c r="AC11" s="37">
        <f t="shared" si="12"/>
        <v>500000</v>
      </c>
      <c r="AD11" s="43">
        <f t="shared" si="13"/>
        <v>5</v>
      </c>
      <c r="AE11" s="34">
        <f>Supuestos!$T15/Supuestos!$Q15*Supuestos!L15</f>
        <v>100000</v>
      </c>
      <c r="AF11" s="34">
        <f>Supuestos!$C15/Supuestos!$Q15*Supuestos!L15*Supuestos!$D15*Supuestos!L$7</f>
        <v>630000</v>
      </c>
      <c r="AG11" s="37">
        <f t="shared" si="14"/>
        <v>530000</v>
      </c>
      <c r="AH11" s="43">
        <f t="shared" si="15"/>
        <v>5.3</v>
      </c>
      <c r="AI11" s="34">
        <f>Supuestos!$T15/Supuestos!$Q15*Supuestos!M15</f>
        <v>100000</v>
      </c>
      <c r="AJ11" s="34">
        <f>Supuestos!$C15/Supuestos!$Q15*Supuestos!M15*Supuestos!$D15*Supuestos!M$7</f>
        <v>660000</v>
      </c>
      <c r="AK11" s="37">
        <f t="shared" si="16"/>
        <v>560000</v>
      </c>
      <c r="AL11" s="43">
        <f t="shared" si="17"/>
        <v>5.6</v>
      </c>
      <c r="AM11" s="34">
        <f>Supuestos!$T15/Supuestos!$Q15*Supuestos!N15</f>
        <v>100000</v>
      </c>
      <c r="AN11" s="34">
        <f>Supuestos!$C15/Supuestos!$Q15*Supuestos!N15*Supuestos!$D15*Supuestos!N$7</f>
        <v>660000</v>
      </c>
      <c r="AO11" s="37">
        <f t="shared" si="18"/>
        <v>560000</v>
      </c>
      <c r="AP11" s="43">
        <f t="shared" si="19"/>
        <v>5.6</v>
      </c>
      <c r="AQ11" s="34">
        <f>Supuestos!$T15/Supuestos!$Q15*Supuestos!O15</f>
        <v>100000</v>
      </c>
      <c r="AR11" s="34">
        <f>Supuestos!$C15/Supuestos!$Q15*Supuestos!O15*Supuestos!$D15*Supuestos!O$7</f>
        <v>690000</v>
      </c>
      <c r="AS11" s="37">
        <f t="shared" si="20"/>
        <v>590000</v>
      </c>
      <c r="AT11" s="43">
        <f t="shared" si="21"/>
        <v>5.9</v>
      </c>
      <c r="AU11" s="34">
        <f>Supuestos!$T15/Supuestos!$Q15*Supuestos!P15</f>
        <v>100000</v>
      </c>
      <c r="AV11" s="34">
        <f>Supuestos!$C15/Supuestos!$Q15*Supuestos!P15*Supuestos!$D15*Supuestos!P$7</f>
        <v>780000</v>
      </c>
      <c r="AW11" s="37">
        <f t="shared" si="22"/>
        <v>680000</v>
      </c>
      <c r="AX11" s="43">
        <f t="shared" si="23"/>
        <v>6.8</v>
      </c>
      <c r="AY11" s="37">
        <f t="shared" si="24"/>
        <v>1200000</v>
      </c>
      <c r="AZ11" s="37">
        <f t="shared" si="25"/>
        <v>7680000</v>
      </c>
      <c r="BA11" s="37">
        <f t="shared" si="26"/>
        <v>6480000</v>
      </c>
      <c r="BB11" s="43">
        <f t="shared" si="27"/>
        <v>5.4</v>
      </c>
    </row>
    <row r="12" spans="1:54" x14ac:dyDescent="0.25">
      <c r="A12" s="2" t="s">
        <v>10</v>
      </c>
      <c r="B12" s="27" t="str">
        <f>Supuestos!B16</f>
        <v>Meta Ads pagado (geo-segmentado)</v>
      </c>
      <c r="C12" s="34">
        <f>Supuestos!$T16/Supuestos!$Q16*Supuestos!E16</f>
        <v>2000000</v>
      </c>
      <c r="D12" s="34">
        <f>Supuestos!$C16/Supuestos!$Q16*Supuestos!E16*Supuestos!$D16*Supuestos!E$7</f>
        <v>9600000</v>
      </c>
      <c r="E12" s="37">
        <f t="shared" si="0"/>
        <v>7600000</v>
      </c>
      <c r="F12" s="43">
        <f t="shared" si="1"/>
        <v>3.8</v>
      </c>
      <c r="G12" s="34">
        <f>Supuestos!$T16/Supuestos!$Q16*Supuestos!F16</f>
        <v>2000000</v>
      </c>
      <c r="H12" s="34">
        <f>Supuestos!$C16/Supuestos!$Q16*Supuestos!F16*Supuestos!$D16*Supuestos!F$7</f>
        <v>9200000</v>
      </c>
      <c r="I12" s="37">
        <f t="shared" si="2"/>
        <v>7200000</v>
      </c>
      <c r="J12" s="43">
        <f t="shared" si="3"/>
        <v>3.6</v>
      </c>
      <c r="K12" s="34">
        <f>Supuestos!$T16/Supuestos!$Q16*Supuestos!G16</f>
        <v>2000000</v>
      </c>
      <c r="L12" s="34">
        <f>Supuestos!$C16/Supuestos!$Q16*Supuestos!G16*Supuestos!$D16*Supuestos!G$7</f>
        <v>7200000</v>
      </c>
      <c r="M12" s="37">
        <f t="shared" si="4"/>
        <v>5200000</v>
      </c>
      <c r="N12" s="43">
        <f t="shared" si="5"/>
        <v>2.6</v>
      </c>
      <c r="O12" s="34">
        <f>Supuestos!$T16/Supuestos!$Q16*Supuestos!H16</f>
        <v>2000000</v>
      </c>
      <c r="P12" s="34">
        <f>Supuestos!$C16/Supuestos!$Q16*Supuestos!H16*Supuestos!$D16*Supuestos!H$7</f>
        <v>6800000</v>
      </c>
      <c r="Q12" s="37">
        <f t="shared" si="6"/>
        <v>4800000</v>
      </c>
      <c r="R12" s="43">
        <f t="shared" si="7"/>
        <v>2.4</v>
      </c>
      <c r="S12" s="34">
        <f>Supuestos!$T16/Supuestos!$Q16*Supuestos!I16</f>
        <v>2000000</v>
      </c>
      <c r="T12" s="34">
        <f>Supuestos!$C16/Supuestos!$Q16*Supuestos!I16*Supuestos!$D16*Supuestos!I$7</f>
        <v>8400000</v>
      </c>
      <c r="U12" s="37">
        <f t="shared" si="8"/>
        <v>6400000</v>
      </c>
      <c r="V12" s="43">
        <f t="shared" si="9"/>
        <v>3.2</v>
      </c>
      <c r="W12" s="34">
        <f>Supuestos!$T16/Supuestos!$Q16*Supuestos!J16</f>
        <v>2000000</v>
      </c>
      <c r="X12" s="34">
        <f>Supuestos!$C16/Supuestos!$Q16*Supuestos!J16*Supuestos!$D16*Supuestos!J$7</f>
        <v>7600000</v>
      </c>
      <c r="Y12" s="37">
        <f t="shared" si="10"/>
        <v>5600000</v>
      </c>
      <c r="Z12" s="43">
        <f t="shared" si="11"/>
        <v>2.8</v>
      </c>
      <c r="AA12" s="34">
        <f>Supuestos!$T16/Supuestos!$Q16*Supuestos!K16</f>
        <v>2000000</v>
      </c>
      <c r="AB12" s="34">
        <f>Supuestos!$C16/Supuestos!$Q16*Supuestos!K16*Supuestos!$D16*Supuestos!K$7</f>
        <v>8000000</v>
      </c>
      <c r="AC12" s="37">
        <f t="shared" si="12"/>
        <v>6000000</v>
      </c>
      <c r="AD12" s="43">
        <f t="shared" si="13"/>
        <v>3</v>
      </c>
      <c r="AE12" s="34">
        <f>Supuestos!$T16/Supuestos!$Q16*Supuestos!L16</f>
        <v>2000000</v>
      </c>
      <c r="AF12" s="34">
        <f>Supuestos!$C16/Supuestos!$Q16*Supuestos!L16*Supuestos!$D16*Supuestos!L$7</f>
        <v>8400000</v>
      </c>
      <c r="AG12" s="37">
        <f t="shared" si="14"/>
        <v>6400000</v>
      </c>
      <c r="AH12" s="43">
        <f t="shared" si="15"/>
        <v>3.2</v>
      </c>
      <c r="AI12" s="34">
        <f>Supuestos!$T16/Supuestos!$Q16*Supuestos!M16</f>
        <v>2000000</v>
      </c>
      <c r="AJ12" s="34">
        <f>Supuestos!$C16/Supuestos!$Q16*Supuestos!M16*Supuestos!$D16*Supuestos!M$7</f>
        <v>8800000</v>
      </c>
      <c r="AK12" s="37">
        <f t="shared" si="16"/>
        <v>6800000</v>
      </c>
      <c r="AL12" s="43">
        <f t="shared" si="17"/>
        <v>3.4</v>
      </c>
      <c r="AM12" s="34">
        <f>Supuestos!$T16/Supuestos!$Q16*Supuestos!N16</f>
        <v>2000000</v>
      </c>
      <c r="AN12" s="34">
        <f>Supuestos!$C16/Supuestos!$Q16*Supuestos!N16*Supuestos!$D16*Supuestos!N$7</f>
        <v>8800000</v>
      </c>
      <c r="AO12" s="37">
        <f t="shared" si="18"/>
        <v>6800000</v>
      </c>
      <c r="AP12" s="43">
        <f t="shared" si="19"/>
        <v>3.4</v>
      </c>
      <c r="AQ12" s="34">
        <f>Supuestos!$T16/Supuestos!$Q16*Supuestos!O16</f>
        <v>2000000</v>
      </c>
      <c r="AR12" s="34">
        <f>Supuestos!$C16/Supuestos!$Q16*Supuestos!O16*Supuestos!$D16*Supuestos!O$7</f>
        <v>9200000</v>
      </c>
      <c r="AS12" s="37">
        <f t="shared" si="20"/>
        <v>7200000</v>
      </c>
      <c r="AT12" s="43">
        <f t="shared" si="21"/>
        <v>3.6</v>
      </c>
      <c r="AU12" s="34">
        <f>Supuestos!$T16/Supuestos!$Q16*Supuestos!P16</f>
        <v>2000000</v>
      </c>
      <c r="AV12" s="34">
        <f>Supuestos!$C16/Supuestos!$Q16*Supuestos!P16*Supuestos!$D16*Supuestos!P$7</f>
        <v>10400000</v>
      </c>
      <c r="AW12" s="37">
        <f t="shared" si="22"/>
        <v>8400000</v>
      </c>
      <c r="AX12" s="43">
        <f t="shared" si="23"/>
        <v>4.2</v>
      </c>
      <c r="AY12" s="37">
        <f t="shared" si="24"/>
        <v>24000000</v>
      </c>
      <c r="AZ12" s="37">
        <f t="shared" si="25"/>
        <v>102400000</v>
      </c>
      <c r="BA12" s="37">
        <f t="shared" si="26"/>
        <v>78400000</v>
      </c>
      <c r="BB12" s="43">
        <f t="shared" si="27"/>
        <v>3.2666666666666666</v>
      </c>
    </row>
    <row r="13" spans="1:54" x14ac:dyDescent="0.25">
      <c r="A13" s="2" t="s">
        <v>10</v>
      </c>
      <c r="B13" s="27" t="str">
        <f>Supuestos!B17</f>
        <v>QR en empaques/recibos + referidos</v>
      </c>
      <c r="C13" s="34">
        <f>Supuestos!$T17/Supuestos!$Q17*Supuestos!E17</f>
        <v>0</v>
      </c>
      <c r="D13" s="34">
        <f>Supuestos!$C17/Supuestos!$Q17*Supuestos!E17*Supuestos!$D17*Supuestos!E$7</f>
        <v>0</v>
      </c>
      <c r="E13" s="37">
        <f t="shared" si="0"/>
        <v>0</v>
      </c>
      <c r="F13" s="43">
        <f t="shared" si="1"/>
        <v>0</v>
      </c>
      <c r="G13" s="34">
        <f>Supuestos!$T17/Supuestos!$Q17*Supuestos!F17</f>
        <v>727272.72727272729</v>
      </c>
      <c r="H13" s="34">
        <f>Supuestos!$C17/Supuestos!$Q17*Supuestos!F17*Supuestos!$D17*Supuestos!F$7</f>
        <v>4181818.1818181821</v>
      </c>
      <c r="I13" s="37">
        <f t="shared" si="2"/>
        <v>3454545.4545454551</v>
      </c>
      <c r="J13" s="43">
        <f t="shared" si="3"/>
        <v>4.7500000000000009</v>
      </c>
      <c r="K13" s="34">
        <f>Supuestos!$T17/Supuestos!$Q17*Supuestos!G17</f>
        <v>727272.72727272729</v>
      </c>
      <c r="L13" s="34">
        <f>Supuestos!$C17/Supuestos!$Q17*Supuestos!G17*Supuestos!$D17*Supuestos!G$7</f>
        <v>3272727.2727272729</v>
      </c>
      <c r="M13" s="37">
        <f t="shared" si="4"/>
        <v>2545454.5454545459</v>
      </c>
      <c r="N13" s="43">
        <f t="shared" si="5"/>
        <v>3.5000000000000004</v>
      </c>
      <c r="O13" s="34">
        <f>Supuestos!$T17/Supuestos!$Q17*Supuestos!H17</f>
        <v>727272.72727272729</v>
      </c>
      <c r="P13" s="34">
        <f>Supuestos!$C17/Supuestos!$Q17*Supuestos!H17*Supuestos!$D17*Supuestos!H$7</f>
        <v>3090909.0909090913</v>
      </c>
      <c r="Q13" s="37">
        <f t="shared" si="6"/>
        <v>2363636.3636363642</v>
      </c>
      <c r="R13" s="43">
        <f t="shared" si="7"/>
        <v>3.2500000000000009</v>
      </c>
      <c r="S13" s="34">
        <f>Supuestos!$T17/Supuestos!$Q17*Supuestos!I17</f>
        <v>727272.72727272729</v>
      </c>
      <c r="T13" s="34">
        <f>Supuestos!$C17/Supuestos!$Q17*Supuestos!I17*Supuestos!$D17*Supuestos!I$7</f>
        <v>3818181.8181818188</v>
      </c>
      <c r="U13" s="37">
        <f t="shared" si="8"/>
        <v>3090909.0909090918</v>
      </c>
      <c r="V13" s="43">
        <f t="shared" si="9"/>
        <v>4.2500000000000009</v>
      </c>
      <c r="W13" s="34">
        <f>Supuestos!$T17/Supuestos!$Q17*Supuestos!J17</f>
        <v>727272.72727272729</v>
      </c>
      <c r="X13" s="34">
        <f>Supuestos!$C17/Supuestos!$Q17*Supuestos!J17*Supuestos!$D17*Supuestos!J$7</f>
        <v>3454545.4545454546</v>
      </c>
      <c r="Y13" s="37">
        <f t="shared" si="10"/>
        <v>2727272.7272727275</v>
      </c>
      <c r="Z13" s="43">
        <f t="shared" si="11"/>
        <v>3.7500000000000004</v>
      </c>
      <c r="AA13" s="34">
        <f>Supuestos!$T17/Supuestos!$Q17*Supuestos!K17</f>
        <v>727272.72727272729</v>
      </c>
      <c r="AB13" s="34">
        <f>Supuestos!$C17/Supuestos!$Q17*Supuestos!K17*Supuestos!$D17*Supuestos!K$7</f>
        <v>3636363.6363636367</v>
      </c>
      <c r="AC13" s="37">
        <f t="shared" si="12"/>
        <v>2909090.9090909092</v>
      </c>
      <c r="AD13" s="43">
        <f t="shared" si="13"/>
        <v>4</v>
      </c>
      <c r="AE13" s="34">
        <f>Supuestos!$T17/Supuestos!$Q17*Supuestos!L17</f>
        <v>727272.72727272729</v>
      </c>
      <c r="AF13" s="34">
        <f>Supuestos!$C17/Supuestos!$Q17*Supuestos!L17*Supuestos!$D17*Supuestos!L$7</f>
        <v>3818181.8181818188</v>
      </c>
      <c r="AG13" s="37">
        <f t="shared" si="14"/>
        <v>3090909.0909090918</v>
      </c>
      <c r="AH13" s="43">
        <f t="shared" si="15"/>
        <v>4.2500000000000009</v>
      </c>
      <c r="AI13" s="34">
        <f>Supuestos!$T17/Supuestos!$Q17*Supuestos!M17</f>
        <v>727272.72727272729</v>
      </c>
      <c r="AJ13" s="34">
        <f>Supuestos!$C17/Supuestos!$Q17*Supuestos!M17*Supuestos!$D17*Supuestos!M$7</f>
        <v>4000000.0000000005</v>
      </c>
      <c r="AK13" s="37">
        <f t="shared" si="16"/>
        <v>3272727.2727272734</v>
      </c>
      <c r="AL13" s="43">
        <f t="shared" si="17"/>
        <v>4.5000000000000009</v>
      </c>
      <c r="AM13" s="34">
        <f>Supuestos!$T17/Supuestos!$Q17*Supuestos!N17</f>
        <v>727272.72727272729</v>
      </c>
      <c r="AN13" s="34">
        <f>Supuestos!$C17/Supuestos!$Q17*Supuestos!N17*Supuestos!$D17*Supuestos!N$7</f>
        <v>4000000.0000000005</v>
      </c>
      <c r="AO13" s="37">
        <f t="shared" si="18"/>
        <v>3272727.2727272734</v>
      </c>
      <c r="AP13" s="43">
        <f t="shared" si="19"/>
        <v>4.5000000000000009</v>
      </c>
      <c r="AQ13" s="34">
        <f>Supuestos!$T17/Supuestos!$Q17*Supuestos!O17</f>
        <v>727272.72727272729</v>
      </c>
      <c r="AR13" s="34">
        <f>Supuestos!$C17/Supuestos!$Q17*Supuestos!O17*Supuestos!$D17*Supuestos!O$7</f>
        <v>4181818.1818181821</v>
      </c>
      <c r="AS13" s="37">
        <f t="shared" si="20"/>
        <v>3454545.4545454551</v>
      </c>
      <c r="AT13" s="43">
        <f t="shared" si="21"/>
        <v>4.7500000000000009</v>
      </c>
      <c r="AU13" s="34">
        <f>Supuestos!$T17/Supuestos!$Q17*Supuestos!P17</f>
        <v>727272.72727272729</v>
      </c>
      <c r="AV13" s="34">
        <f>Supuestos!$C17/Supuestos!$Q17*Supuestos!P17*Supuestos!$D17*Supuestos!P$7</f>
        <v>4727272.7272727275</v>
      </c>
      <c r="AW13" s="37">
        <f t="shared" si="22"/>
        <v>4000000</v>
      </c>
      <c r="AX13" s="43">
        <f t="shared" si="23"/>
        <v>5.5</v>
      </c>
      <c r="AY13" s="37">
        <f t="shared" si="24"/>
        <v>8000000.0000000019</v>
      </c>
      <c r="AZ13" s="37">
        <f t="shared" si="25"/>
        <v>42181818.181818187</v>
      </c>
      <c r="BA13" s="37">
        <f t="shared" si="26"/>
        <v>34181818.181818187</v>
      </c>
      <c r="BB13" s="43">
        <f t="shared" si="27"/>
        <v>4.2727272727272725</v>
      </c>
    </row>
    <row r="14" spans="1:54" x14ac:dyDescent="0.25">
      <c r="A14" s="19" t="s">
        <v>48</v>
      </c>
      <c r="B14" s="19"/>
      <c r="C14" s="20">
        <f>SUM(C15:C16)</f>
        <v>0</v>
      </c>
      <c r="D14" s="20">
        <f>SUM(D15:D16)</f>
        <v>0</v>
      </c>
      <c r="E14" s="20">
        <f t="shared" si="0"/>
        <v>0</v>
      </c>
      <c r="F14" s="21">
        <f t="shared" si="1"/>
        <v>0</v>
      </c>
      <c r="G14" s="20">
        <f>SUM(G15:G16)</f>
        <v>0</v>
      </c>
      <c r="H14" s="20">
        <f>SUM(H15:H16)</f>
        <v>0</v>
      </c>
      <c r="I14" s="20">
        <f t="shared" si="2"/>
        <v>0</v>
      </c>
      <c r="J14" s="21">
        <f t="shared" si="3"/>
        <v>0</v>
      </c>
      <c r="K14" s="20">
        <f>SUM(K15:K16)</f>
        <v>400000</v>
      </c>
      <c r="L14" s="20">
        <f>SUM(L15:L16)</f>
        <v>1512000</v>
      </c>
      <c r="M14" s="20">
        <f t="shared" si="4"/>
        <v>1112000</v>
      </c>
      <c r="N14" s="21">
        <f t="shared" si="5"/>
        <v>2.78</v>
      </c>
      <c r="O14" s="20">
        <f>SUM(O15:O16)</f>
        <v>900000</v>
      </c>
      <c r="P14" s="20">
        <f>SUM(P15:P16)</f>
        <v>3340500</v>
      </c>
      <c r="Q14" s="20">
        <f t="shared" si="6"/>
        <v>2440500</v>
      </c>
      <c r="R14" s="21">
        <f t="shared" si="7"/>
        <v>2.7116666666666664</v>
      </c>
      <c r="S14" s="20">
        <f>SUM(S15:S16)</f>
        <v>900000</v>
      </c>
      <c r="T14" s="20">
        <f>SUM(T15:T16)</f>
        <v>4126500</v>
      </c>
      <c r="U14" s="20">
        <f t="shared" si="8"/>
        <v>3226500</v>
      </c>
      <c r="V14" s="21">
        <f t="shared" si="9"/>
        <v>3.585</v>
      </c>
      <c r="W14" s="20">
        <f>SUM(W15:W16)</f>
        <v>900000</v>
      </c>
      <c r="X14" s="20">
        <f>SUM(X15:X16)</f>
        <v>3733500</v>
      </c>
      <c r="Y14" s="20">
        <f t="shared" si="10"/>
        <v>2833500</v>
      </c>
      <c r="Z14" s="21">
        <f t="shared" si="11"/>
        <v>3.1483333333333334</v>
      </c>
      <c r="AA14" s="20">
        <f>SUM(AA15:AA16)</f>
        <v>900000</v>
      </c>
      <c r="AB14" s="20">
        <f>SUM(AB15:AB16)</f>
        <v>3930000</v>
      </c>
      <c r="AC14" s="20">
        <f t="shared" si="12"/>
        <v>3030000</v>
      </c>
      <c r="AD14" s="21">
        <f t="shared" si="13"/>
        <v>3.3666666666666667</v>
      </c>
      <c r="AE14" s="20">
        <f>SUM(AE15:AE16)</f>
        <v>400000</v>
      </c>
      <c r="AF14" s="20">
        <f>SUM(AF15:AF16)</f>
        <v>1764000</v>
      </c>
      <c r="AG14" s="20">
        <f t="shared" si="14"/>
        <v>1364000</v>
      </c>
      <c r="AH14" s="21">
        <f t="shared" si="15"/>
        <v>3.41</v>
      </c>
      <c r="AI14" s="20">
        <f>SUM(AI15:AI16)</f>
        <v>400000</v>
      </c>
      <c r="AJ14" s="20">
        <f>SUM(AJ15:AJ16)</f>
        <v>1848000.0000000002</v>
      </c>
      <c r="AK14" s="20">
        <f t="shared" si="16"/>
        <v>1448000.0000000002</v>
      </c>
      <c r="AL14" s="21">
        <f t="shared" si="17"/>
        <v>3.6200000000000006</v>
      </c>
      <c r="AM14" s="20">
        <f>SUM(AM15:AM16)</f>
        <v>400000</v>
      </c>
      <c r="AN14" s="20">
        <f>SUM(AN15:AN16)</f>
        <v>1848000.0000000002</v>
      </c>
      <c r="AO14" s="20">
        <f t="shared" si="18"/>
        <v>1448000.0000000002</v>
      </c>
      <c r="AP14" s="21">
        <f t="shared" si="19"/>
        <v>3.6200000000000006</v>
      </c>
      <c r="AQ14" s="20">
        <f>SUM(AQ15:AQ16)</f>
        <v>400000</v>
      </c>
      <c r="AR14" s="20">
        <f>SUM(AR15:AR16)</f>
        <v>1931999.9999999998</v>
      </c>
      <c r="AS14" s="20">
        <f t="shared" si="20"/>
        <v>1531999.9999999998</v>
      </c>
      <c r="AT14" s="21">
        <f t="shared" si="21"/>
        <v>3.8299999999999996</v>
      </c>
      <c r="AU14" s="20">
        <f>SUM(AU15:AU16)</f>
        <v>400000</v>
      </c>
      <c r="AV14" s="20">
        <f>SUM(AV15:AV16)</f>
        <v>2184000</v>
      </c>
      <c r="AW14" s="20">
        <f t="shared" si="22"/>
        <v>1784000</v>
      </c>
      <c r="AX14" s="21">
        <f t="shared" si="23"/>
        <v>4.46</v>
      </c>
      <c r="AY14" s="20">
        <f t="shared" si="24"/>
        <v>6000000</v>
      </c>
      <c r="AZ14" s="20">
        <f t="shared" si="25"/>
        <v>26218500</v>
      </c>
      <c r="BA14" s="20">
        <f t="shared" si="26"/>
        <v>20218500</v>
      </c>
      <c r="BB14" s="21">
        <f t="shared" si="27"/>
        <v>3.3697499999999998</v>
      </c>
    </row>
    <row r="15" spans="1:54" x14ac:dyDescent="0.25">
      <c r="A15" s="2" t="s">
        <v>11</v>
      </c>
      <c r="B15" s="27" t="str">
        <f>Supuestos!B18</f>
        <v>Almuerzos corporativos (pedidos por WhatsApp)</v>
      </c>
      <c r="C15" s="34">
        <f>Supuestos!$T18/Supuestos!$Q18*Supuestos!E18</f>
        <v>0</v>
      </c>
      <c r="D15" s="34">
        <f>Supuestos!$C18/Supuestos!$Q18*Supuestos!E18*Supuestos!$D18*Supuestos!E$7</f>
        <v>0</v>
      </c>
      <c r="E15" s="37">
        <f t="shared" si="0"/>
        <v>0</v>
      </c>
      <c r="F15" s="43">
        <f t="shared" si="1"/>
        <v>0</v>
      </c>
      <c r="G15" s="34">
        <f>Supuestos!$T18/Supuestos!$Q18*Supuestos!F18</f>
        <v>0</v>
      </c>
      <c r="H15" s="34">
        <f>Supuestos!$C18/Supuestos!$Q18*Supuestos!F18*Supuestos!$D18*Supuestos!F$7</f>
        <v>0</v>
      </c>
      <c r="I15" s="37">
        <f t="shared" si="2"/>
        <v>0</v>
      </c>
      <c r="J15" s="43">
        <f t="shared" si="3"/>
        <v>0</v>
      </c>
      <c r="K15" s="34">
        <f>Supuestos!$T18/Supuestos!$Q18*Supuestos!G18</f>
        <v>400000</v>
      </c>
      <c r="L15" s="34">
        <f>Supuestos!$C18/Supuestos!$Q18*Supuestos!G18*Supuestos!$D18*Supuestos!G$7</f>
        <v>1512000</v>
      </c>
      <c r="M15" s="37">
        <f t="shared" si="4"/>
        <v>1112000</v>
      </c>
      <c r="N15" s="43">
        <f t="shared" si="5"/>
        <v>2.78</v>
      </c>
      <c r="O15" s="34">
        <f>Supuestos!$T18/Supuestos!$Q18*Supuestos!H18</f>
        <v>400000</v>
      </c>
      <c r="P15" s="34">
        <f>Supuestos!$C18/Supuestos!$Q18*Supuestos!H18*Supuestos!$D18*Supuestos!H$7</f>
        <v>1428000</v>
      </c>
      <c r="Q15" s="37">
        <f t="shared" si="6"/>
        <v>1028000</v>
      </c>
      <c r="R15" s="43">
        <f t="shared" si="7"/>
        <v>2.57</v>
      </c>
      <c r="S15" s="34">
        <f>Supuestos!$T18/Supuestos!$Q18*Supuestos!I18</f>
        <v>400000</v>
      </c>
      <c r="T15" s="34">
        <f>Supuestos!$C18/Supuestos!$Q18*Supuestos!I18*Supuestos!$D18*Supuestos!I$7</f>
        <v>1764000</v>
      </c>
      <c r="U15" s="37">
        <f t="shared" si="8"/>
        <v>1364000</v>
      </c>
      <c r="V15" s="43">
        <f t="shared" si="9"/>
        <v>3.41</v>
      </c>
      <c r="W15" s="34">
        <f>Supuestos!$T18/Supuestos!$Q18*Supuestos!J18</f>
        <v>400000</v>
      </c>
      <c r="X15" s="34">
        <f>Supuestos!$C18/Supuestos!$Q18*Supuestos!J18*Supuestos!$D18*Supuestos!J$7</f>
        <v>1596000</v>
      </c>
      <c r="Y15" s="37">
        <f t="shared" si="10"/>
        <v>1196000</v>
      </c>
      <c r="Z15" s="43">
        <f t="shared" si="11"/>
        <v>2.99</v>
      </c>
      <c r="AA15" s="34">
        <f>Supuestos!$T18/Supuestos!$Q18*Supuestos!K18</f>
        <v>400000</v>
      </c>
      <c r="AB15" s="34">
        <f>Supuestos!$C18/Supuestos!$Q18*Supuestos!K18*Supuestos!$D18*Supuestos!K$7</f>
        <v>1680000</v>
      </c>
      <c r="AC15" s="37">
        <f t="shared" si="12"/>
        <v>1280000</v>
      </c>
      <c r="AD15" s="43">
        <f t="shared" si="13"/>
        <v>3.2</v>
      </c>
      <c r="AE15" s="34">
        <f>Supuestos!$T18/Supuestos!$Q18*Supuestos!L18</f>
        <v>400000</v>
      </c>
      <c r="AF15" s="34">
        <f>Supuestos!$C18/Supuestos!$Q18*Supuestos!L18*Supuestos!$D18*Supuestos!L$7</f>
        <v>1764000</v>
      </c>
      <c r="AG15" s="37">
        <f t="shared" si="14"/>
        <v>1364000</v>
      </c>
      <c r="AH15" s="43">
        <f t="shared" si="15"/>
        <v>3.41</v>
      </c>
      <c r="AI15" s="34">
        <f>Supuestos!$T18/Supuestos!$Q18*Supuestos!M18</f>
        <v>400000</v>
      </c>
      <c r="AJ15" s="34">
        <f>Supuestos!$C18/Supuestos!$Q18*Supuestos!M18*Supuestos!$D18*Supuestos!M$7</f>
        <v>1848000.0000000002</v>
      </c>
      <c r="AK15" s="37">
        <f t="shared" si="16"/>
        <v>1448000.0000000002</v>
      </c>
      <c r="AL15" s="43">
        <f t="shared" si="17"/>
        <v>3.6200000000000006</v>
      </c>
      <c r="AM15" s="34">
        <f>Supuestos!$T18/Supuestos!$Q18*Supuestos!N18</f>
        <v>400000</v>
      </c>
      <c r="AN15" s="34">
        <f>Supuestos!$C18/Supuestos!$Q18*Supuestos!N18*Supuestos!$D18*Supuestos!N$7</f>
        <v>1848000.0000000002</v>
      </c>
      <c r="AO15" s="37">
        <f t="shared" si="18"/>
        <v>1448000.0000000002</v>
      </c>
      <c r="AP15" s="43">
        <f t="shared" si="19"/>
        <v>3.6200000000000006</v>
      </c>
      <c r="AQ15" s="34">
        <f>Supuestos!$T18/Supuestos!$Q18*Supuestos!O18</f>
        <v>400000</v>
      </c>
      <c r="AR15" s="34">
        <f>Supuestos!$C18/Supuestos!$Q18*Supuestos!O18*Supuestos!$D18*Supuestos!O$7</f>
        <v>1931999.9999999998</v>
      </c>
      <c r="AS15" s="37">
        <f t="shared" si="20"/>
        <v>1531999.9999999998</v>
      </c>
      <c r="AT15" s="43">
        <f t="shared" si="21"/>
        <v>3.8299999999999996</v>
      </c>
      <c r="AU15" s="34">
        <f>Supuestos!$T18/Supuestos!$Q18*Supuestos!P18</f>
        <v>400000</v>
      </c>
      <c r="AV15" s="34">
        <f>Supuestos!$C18/Supuestos!$Q18*Supuestos!P18*Supuestos!$D18*Supuestos!P$7</f>
        <v>2184000</v>
      </c>
      <c r="AW15" s="37">
        <f t="shared" si="22"/>
        <v>1784000</v>
      </c>
      <c r="AX15" s="43">
        <f t="shared" si="23"/>
        <v>4.46</v>
      </c>
      <c r="AY15" s="37">
        <f t="shared" si="24"/>
        <v>4000000</v>
      </c>
      <c r="AZ15" s="37">
        <f t="shared" si="25"/>
        <v>17556000</v>
      </c>
      <c r="BA15" s="37">
        <f t="shared" si="26"/>
        <v>13556000</v>
      </c>
      <c r="BB15" s="43">
        <f t="shared" si="27"/>
        <v>3.3889999999999998</v>
      </c>
    </row>
    <row r="16" spans="1:54" x14ac:dyDescent="0.25">
      <c r="A16" s="2" t="s">
        <v>11</v>
      </c>
      <c r="B16" s="27" t="str">
        <f>Supuestos!B19</f>
        <v>Refiere y gana (papas gratis)</v>
      </c>
      <c r="C16" s="34">
        <f>Supuestos!$T19/Supuestos!$Q19*Supuestos!E19</f>
        <v>0</v>
      </c>
      <c r="D16" s="34">
        <f>Supuestos!$C19/Supuestos!$Q19*Supuestos!E19*Supuestos!$D19*Supuestos!E$7</f>
        <v>0</v>
      </c>
      <c r="E16" s="37">
        <f t="shared" si="0"/>
        <v>0</v>
      </c>
      <c r="F16" s="43">
        <f t="shared" si="1"/>
        <v>0</v>
      </c>
      <c r="G16" s="34">
        <f>Supuestos!$T19/Supuestos!$Q19*Supuestos!F19</f>
        <v>0</v>
      </c>
      <c r="H16" s="34">
        <f>Supuestos!$C19/Supuestos!$Q19*Supuestos!F19*Supuestos!$D19*Supuestos!F$7</f>
        <v>0</v>
      </c>
      <c r="I16" s="37">
        <f t="shared" si="2"/>
        <v>0</v>
      </c>
      <c r="J16" s="43">
        <f t="shared" si="3"/>
        <v>0</v>
      </c>
      <c r="K16" s="34">
        <f>Supuestos!$T19/Supuestos!$Q19*Supuestos!G19</f>
        <v>0</v>
      </c>
      <c r="L16" s="34">
        <f>Supuestos!$C19/Supuestos!$Q19*Supuestos!G19*Supuestos!$D19*Supuestos!G$7</f>
        <v>0</v>
      </c>
      <c r="M16" s="37">
        <f t="shared" si="4"/>
        <v>0</v>
      </c>
      <c r="N16" s="43">
        <f t="shared" si="5"/>
        <v>0</v>
      </c>
      <c r="O16" s="34">
        <f>Supuestos!$T19/Supuestos!$Q19*Supuestos!H19</f>
        <v>500000</v>
      </c>
      <c r="P16" s="34">
        <f>Supuestos!$C19/Supuestos!$Q19*Supuestos!H19*Supuestos!$D19*Supuestos!H$7</f>
        <v>1912500</v>
      </c>
      <c r="Q16" s="37">
        <f t="shared" si="6"/>
        <v>1412500</v>
      </c>
      <c r="R16" s="43">
        <f t="shared" si="7"/>
        <v>2.8250000000000002</v>
      </c>
      <c r="S16" s="34">
        <f>Supuestos!$T19/Supuestos!$Q19*Supuestos!I19</f>
        <v>500000</v>
      </c>
      <c r="T16" s="34">
        <f>Supuestos!$C19/Supuestos!$Q19*Supuestos!I19*Supuestos!$D19*Supuestos!I$7</f>
        <v>2362500</v>
      </c>
      <c r="U16" s="37">
        <f t="shared" si="8"/>
        <v>1862500</v>
      </c>
      <c r="V16" s="43">
        <f t="shared" si="9"/>
        <v>3.7250000000000001</v>
      </c>
      <c r="W16" s="34">
        <f>Supuestos!$T19/Supuestos!$Q19*Supuestos!J19</f>
        <v>500000</v>
      </c>
      <c r="X16" s="34">
        <f>Supuestos!$C19/Supuestos!$Q19*Supuestos!J19*Supuestos!$D19*Supuestos!J$7</f>
        <v>2137500</v>
      </c>
      <c r="Y16" s="37">
        <f t="shared" si="10"/>
        <v>1637500</v>
      </c>
      <c r="Z16" s="43">
        <f t="shared" si="11"/>
        <v>3.2749999999999999</v>
      </c>
      <c r="AA16" s="34">
        <f>Supuestos!$T19/Supuestos!$Q19*Supuestos!K19</f>
        <v>500000</v>
      </c>
      <c r="AB16" s="34">
        <f>Supuestos!$C19/Supuestos!$Q19*Supuestos!K19*Supuestos!$D19*Supuestos!K$7</f>
        <v>2250000</v>
      </c>
      <c r="AC16" s="37">
        <f t="shared" si="12"/>
        <v>1750000</v>
      </c>
      <c r="AD16" s="43">
        <f t="shared" si="13"/>
        <v>3.5</v>
      </c>
      <c r="AE16" s="34">
        <f>Supuestos!$T19/Supuestos!$Q19*Supuestos!L19</f>
        <v>0</v>
      </c>
      <c r="AF16" s="34">
        <f>Supuestos!$C19/Supuestos!$Q19*Supuestos!L19*Supuestos!$D19*Supuestos!L$7</f>
        <v>0</v>
      </c>
      <c r="AG16" s="37">
        <f t="shared" si="14"/>
        <v>0</v>
      </c>
      <c r="AH16" s="43">
        <f t="shared" si="15"/>
        <v>0</v>
      </c>
      <c r="AI16" s="34">
        <f>Supuestos!$T19/Supuestos!$Q19*Supuestos!M19</f>
        <v>0</v>
      </c>
      <c r="AJ16" s="34">
        <f>Supuestos!$C19/Supuestos!$Q19*Supuestos!M19*Supuestos!$D19*Supuestos!M$7</f>
        <v>0</v>
      </c>
      <c r="AK16" s="37">
        <f t="shared" si="16"/>
        <v>0</v>
      </c>
      <c r="AL16" s="43">
        <f t="shared" si="17"/>
        <v>0</v>
      </c>
      <c r="AM16" s="34">
        <f>Supuestos!$T19/Supuestos!$Q19*Supuestos!N19</f>
        <v>0</v>
      </c>
      <c r="AN16" s="34">
        <f>Supuestos!$C19/Supuestos!$Q19*Supuestos!N19*Supuestos!$D19*Supuestos!N$7</f>
        <v>0</v>
      </c>
      <c r="AO16" s="37">
        <f t="shared" si="18"/>
        <v>0</v>
      </c>
      <c r="AP16" s="43">
        <f t="shared" si="19"/>
        <v>0</v>
      </c>
      <c r="AQ16" s="34">
        <f>Supuestos!$T19/Supuestos!$Q19*Supuestos!O19</f>
        <v>0</v>
      </c>
      <c r="AR16" s="34">
        <f>Supuestos!$C19/Supuestos!$Q19*Supuestos!O19*Supuestos!$D19*Supuestos!O$7</f>
        <v>0</v>
      </c>
      <c r="AS16" s="37">
        <f t="shared" si="20"/>
        <v>0</v>
      </c>
      <c r="AT16" s="43">
        <f t="shared" si="21"/>
        <v>0</v>
      </c>
      <c r="AU16" s="34">
        <f>Supuestos!$T19/Supuestos!$Q19*Supuestos!P19</f>
        <v>0</v>
      </c>
      <c r="AV16" s="34">
        <f>Supuestos!$C19/Supuestos!$Q19*Supuestos!P19*Supuestos!$D19*Supuestos!P$7</f>
        <v>0</v>
      </c>
      <c r="AW16" s="37">
        <f t="shared" si="22"/>
        <v>0</v>
      </c>
      <c r="AX16" s="43">
        <f t="shared" si="23"/>
        <v>0</v>
      </c>
      <c r="AY16" s="37">
        <f t="shared" si="24"/>
        <v>2000000</v>
      </c>
      <c r="AZ16" s="37">
        <f t="shared" si="25"/>
        <v>8662500</v>
      </c>
      <c r="BA16" s="37">
        <f t="shared" si="26"/>
        <v>6662500</v>
      </c>
      <c r="BB16" s="43">
        <f t="shared" si="27"/>
        <v>3.3312499999999998</v>
      </c>
    </row>
    <row r="17" spans="1:54" x14ac:dyDescent="0.25">
      <c r="A17" s="19" t="s">
        <v>49</v>
      </c>
      <c r="B17" s="19"/>
      <c r="C17" s="20">
        <f>SUM(C18:C19)</f>
        <v>0</v>
      </c>
      <c r="D17" s="20">
        <f>SUM(D18:D19)</f>
        <v>0</v>
      </c>
      <c r="E17" s="20">
        <f t="shared" si="0"/>
        <v>0</v>
      </c>
      <c r="F17" s="21">
        <f t="shared" si="1"/>
        <v>0</v>
      </c>
      <c r="G17" s="20">
        <f>SUM(G18:G19)</f>
        <v>4300000</v>
      </c>
      <c r="H17" s="20">
        <f>SUM(H18:H19)</f>
        <v>11500000</v>
      </c>
      <c r="I17" s="20">
        <f t="shared" si="2"/>
        <v>7200000</v>
      </c>
      <c r="J17" s="21">
        <f t="shared" si="3"/>
        <v>1.6744186046511629</v>
      </c>
      <c r="K17" s="20">
        <f>SUM(K18:K19)</f>
        <v>0</v>
      </c>
      <c r="L17" s="20">
        <f>SUM(L18:L19)</f>
        <v>0</v>
      </c>
      <c r="M17" s="20">
        <f t="shared" si="4"/>
        <v>0</v>
      </c>
      <c r="N17" s="21">
        <f t="shared" si="5"/>
        <v>0</v>
      </c>
      <c r="O17" s="20">
        <f>SUM(O18:O19)</f>
        <v>0</v>
      </c>
      <c r="P17" s="20">
        <f>SUM(P18:P19)</f>
        <v>0</v>
      </c>
      <c r="Q17" s="20">
        <f t="shared" si="6"/>
        <v>0</v>
      </c>
      <c r="R17" s="21">
        <f t="shared" si="7"/>
        <v>0</v>
      </c>
      <c r="S17" s="20">
        <f>SUM(S18:S19)</f>
        <v>0</v>
      </c>
      <c r="T17" s="20">
        <f>SUM(T18:T19)</f>
        <v>0</v>
      </c>
      <c r="U17" s="20">
        <f t="shared" si="8"/>
        <v>0</v>
      </c>
      <c r="V17" s="21">
        <f t="shared" si="9"/>
        <v>0</v>
      </c>
      <c r="W17" s="20">
        <f>SUM(W18:W19)</f>
        <v>0</v>
      </c>
      <c r="X17" s="20">
        <f>SUM(X18:X19)</f>
        <v>0</v>
      </c>
      <c r="Y17" s="20">
        <f t="shared" si="10"/>
        <v>0</v>
      </c>
      <c r="Z17" s="21">
        <f t="shared" si="11"/>
        <v>0</v>
      </c>
      <c r="AA17" s="20">
        <f>SUM(AA18:AA19)</f>
        <v>0</v>
      </c>
      <c r="AB17" s="20">
        <f>SUM(AB18:AB19)</f>
        <v>0</v>
      </c>
      <c r="AC17" s="20">
        <f t="shared" si="12"/>
        <v>0</v>
      </c>
      <c r="AD17" s="21">
        <f t="shared" si="13"/>
        <v>0</v>
      </c>
      <c r="AE17" s="20">
        <f>SUM(AE18:AE19)</f>
        <v>0</v>
      </c>
      <c r="AF17" s="20">
        <f>SUM(AF18:AF19)</f>
        <v>0</v>
      </c>
      <c r="AG17" s="20">
        <f t="shared" si="14"/>
        <v>0</v>
      </c>
      <c r="AH17" s="21">
        <f t="shared" si="15"/>
        <v>0</v>
      </c>
      <c r="AI17" s="20">
        <f>SUM(AI18:AI19)</f>
        <v>0</v>
      </c>
      <c r="AJ17" s="20">
        <f>SUM(AJ18:AJ19)</f>
        <v>0</v>
      </c>
      <c r="AK17" s="20">
        <f t="shared" si="16"/>
        <v>0</v>
      </c>
      <c r="AL17" s="21">
        <f t="shared" si="17"/>
        <v>0</v>
      </c>
      <c r="AM17" s="20">
        <f>SUM(AM18:AM19)</f>
        <v>0</v>
      </c>
      <c r="AN17" s="20">
        <f>SUM(AN18:AN19)</f>
        <v>0</v>
      </c>
      <c r="AO17" s="20">
        <f t="shared" si="18"/>
        <v>0</v>
      </c>
      <c r="AP17" s="21">
        <f t="shared" si="19"/>
        <v>0</v>
      </c>
      <c r="AQ17" s="20">
        <f>SUM(AQ18:AQ19)</f>
        <v>0</v>
      </c>
      <c r="AR17" s="20">
        <f>SUM(AR18:AR19)</f>
        <v>0</v>
      </c>
      <c r="AS17" s="20">
        <f t="shared" si="20"/>
        <v>0</v>
      </c>
      <c r="AT17" s="21">
        <f t="shared" si="21"/>
        <v>0</v>
      </c>
      <c r="AU17" s="20">
        <f>SUM(AU18:AU19)</f>
        <v>5300000</v>
      </c>
      <c r="AV17" s="20">
        <f>SUM(AV18:AV19)</f>
        <v>22750000</v>
      </c>
      <c r="AW17" s="20">
        <f t="shared" si="22"/>
        <v>17450000</v>
      </c>
      <c r="AX17" s="21">
        <f t="shared" si="23"/>
        <v>3.2924528301886791</v>
      </c>
      <c r="AY17" s="20">
        <f t="shared" si="24"/>
        <v>9600000</v>
      </c>
      <c r="AZ17" s="20">
        <f t="shared" si="25"/>
        <v>34250000</v>
      </c>
      <c r="BA17" s="20">
        <f t="shared" si="26"/>
        <v>24650000</v>
      </c>
      <c r="BB17" s="21">
        <f t="shared" si="27"/>
        <v>2.5677083333333335</v>
      </c>
    </row>
    <row r="18" spans="1:54" x14ac:dyDescent="0.25">
      <c r="A18" s="2" t="s">
        <v>12</v>
      </c>
      <c r="B18" s="27" t="str">
        <f>Supuestos!B20</f>
        <v>San Valentín (Comparte un Döner)</v>
      </c>
      <c r="C18" s="34">
        <f>Supuestos!$T20/Supuestos!$Q20*Supuestos!E20</f>
        <v>0</v>
      </c>
      <c r="D18" s="34">
        <f>Supuestos!$C20/Supuestos!$Q20*Supuestos!E20*Supuestos!$D20*Supuestos!E$7</f>
        <v>0</v>
      </c>
      <c r="E18" s="37">
        <f t="shared" si="0"/>
        <v>0</v>
      </c>
      <c r="F18" s="43">
        <f t="shared" si="1"/>
        <v>0</v>
      </c>
      <c r="G18" s="34">
        <f>Supuestos!$T20/Supuestos!$Q20*Supuestos!F20</f>
        <v>4300000</v>
      </c>
      <c r="H18" s="34">
        <f>Supuestos!$C20/Supuestos!$Q20*Supuestos!F20*Supuestos!$D20*Supuestos!F$7</f>
        <v>11500000</v>
      </c>
      <c r="I18" s="37">
        <f t="shared" si="2"/>
        <v>7200000</v>
      </c>
      <c r="J18" s="43">
        <f t="shared" si="3"/>
        <v>1.6744186046511629</v>
      </c>
      <c r="K18" s="34">
        <f>Supuestos!$T20/Supuestos!$Q20*Supuestos!G20</f>
        <v>0</v>
      </c>
      <c r="L18" s="34">
        <f>Supuestos!$C20/Supuestos!$Q20*Supuestos!G20*Supuestos!$D20*Supuestos!G$7</f>
        <v>0</v>
      </c>
      <c r="M18" s="37">
        <f t="shared" si="4"/>
        <v>0</v>
      </c>
      <c r="N18" s="43">
        <f t="shared" si="5"/>
        <v>0</v>
      </c>
      <c r="O18" s="34">
        <f>Supuestos!$T20/Supuestos!$Q20*Supuestos!H20</f>
        <v>0</v>
      </c>
      <c r="P18" s="34">
        <f>Supuestos!$C20/Supuestos!$Q20*Supuestos!H20*Supuestos!$D20*Supuestos!H$7</f>
        <v>0</v>
      </c>
      <c r="Q18" s="37">
        <f t="shared" si="6"/>
        <v>0</v>
      </c>
      <c r="R18" s="43">
        <f t="shared" si="7"/>
        <v>0</v>
      </c>
      <c r="S18" s="34">
        <f>Supuestos!$T20/Supuestos!$Q20*Supuestos!I20</f>
        <v>0</v>
      </c>
      <c r="T18" s="34">
        <f>Supuestos!$C20/Supuestos!$Q20*Supuestos!I20*Supuestos!$D20*Supuestos!I$7</f>
        <v>0</v>
      </c>
      <c r="U18" s="37">
        <f t="shared" si="8"/>
        <v>0</v>
      </c>
      <c r="V18" s="43">
        <f t="shared" si="9"/>
        <v>0</v>
      </c>
      <c r="W18" s="34">
        <f>Supuestos!$T20/Supuestos!$Q20*Supuestos!J20</f>
        <v>0</v>
      </c>
      <c r="X18" s="34">
        <f>Supuestos!$C20/Supuestos!$Q20*Supuestos!J20*Supuestos!$D20*Supuestos!J$7</f>
        <v>0</v>
      </c>
      <c r="Y18" s="37">
        <f t="shared" si="10"/>
        <v>0</v>
      </c>
      <c r="Z18" s="43">
        <f t="shared" si="11"/>
        <v>0</v>
      </c>
      <c r="AA18" s="34">
        <f>Supuestos!$T20/Supuestos!$Q20*Supuestos!K20</f>
        <v>0</v>
      </c>
      <c r="AB18" s="34">
        <f>Supuestos!$C20/Supuestos!$Q20*Supuestos!K20*Supuestos!$D20*Supuestos!K$7</f>
        <v>0</v>
      </c>
      <c r="AC18" s="37">
        <f t="shared" si="12"/>
        <v>0</v>
      </c>
      <c r="AD18" s="43">
        <f t="shared" si="13"/>
        <v>0</v>
      </c>
      <c r="AE18" s="34">
        <f>Supuestos!$T20/Supuestos!$Q20*Supuestos!L20</f>
        <v>0</v>
      </c>
      <c r="AF18" s="34">
        <f>Supuestos!$C20/Supuestos!$Q20*Supuestos!L20*Supuestos!$D20*Supuestos!L$7</f>
        <v>0</v>
      </c>
      <c r="AG18" s="37">
        <f t="shared" si="14"/>
        <v>0</v>
      </c>
      <c r="AH18" s="43">
        <f t="shared" si="15"/>
        <v>0</v>
      </c>
      <c r="AI18" s="34">
        <f>Supuestos!$T20/Supuestos!$Q20*Supuestos!M20</f>
        <v>0</v>
      </c>
      <c r="AJ18" s="34">
        <f>Supuestos!$C20/Supuestos!$Q20*Supuestos!M20*Supuestos!$D20*Supuestos!M$7</f>
        <v>0</v>
      </c>
      <c r="AK18" s="37">
        <f t="shared" si="16"/>
        <v>0</v>
      </c>
      <c r="AL18" s="43">
        <f t="shared" si="17"/>
        <v>0</v>
      </c>
      <c r="AM18" s="34">
        <f>Supuestos!$T20/Supuestos!$Q20*Supuestos!N20</f>
        <v>0</v>
      </c>
      <c r="AN18" s="34">
        <f>Supuestos!$C20/Supuestos!$Q20*Supuestos!N20*Supuestos!$D20*Supuestos!N$7</f>
        <v>0</v>
      </c>
      <c r="AO18" s="37">
        <f t="shared" si="18"/>
        <v>0</v>
      </c>
      <c r="AP18" s="43">
        <f t="shared" si="19"/>
        <v>0</v>
      </c>
      <c r="AQ18" s="34">
        <f>Supuestos!$T20/Supuestos!$Q20*Supuestos!O20</f>
        <v>0</v>
      </c>
      <c r="AR18" s="34">
        <f>Supuestos!$C20/Supuestos!$Q20*Supuestos!O20*Supuestos!$D20*Supuestos!O$7</f>
        <v>0</v>
      </c>
      <c r="AS18" s="37">
        <f t="shared" si="20"/>
        <v>0</v>
      </c>
      <c r="AT18" s="43">
        <f t="shared" si="21"/>
        <v>0</v>
      </c>
      <c r="AU18" s="34">
        <f>Supuestos!$T20/Supuestos!$Q20*Supuestos!P20</f>
        <v>0</v>
      </c>
      <c r="AV18" s="34">
        <f>Supuestos!$C20/Supuestos!$Q20*Supuestos!P20*Supuestos!$D20*Supuestos!P$7</f>
        <v>0</v>
      </c>
      <c r="AW18" s="37">
        <f t="shared" si="22"/>
        <v>0</v>
      </c>
      <c r="AX18" s="43">
        <f t="shared" si="23"/>
        <v>0</v>
      </c>
      <c r="AY18" s="37">
        <f t="shared" si="24"/>
        <v>4300000</v>
      </c>
      <c r="AZ18" s="37">
        <f t="shared" si="25"/>
        <v>11500000</v>
      </c>
      <c r="BA18" s="37">
        <f t="shared" si="26"/>
        <v>7200000</v>
      </c>
      <c r="BB18" s="43">
        <f t="shared" si="27"/>
        <v>1.6744186046511629</v>
      </c>
    </row>
    <row r="19" spans="1:54" x14ac:dyDescent="0.25">
      <c r="A19" s="2" t="s">
        <v>12</v>
      </c>
      <c r="B19" s="27" t="str">
        <f>Supuestos!B21</f>
        <v>Navidad y fin de año (Party Pack)</v>
      </c>
      <c r="C19" s="34">
        <f>Supuestos!$T21/Supuestos!$Q21*Supuestos!E21</f>
        <v>0</v>
      </c>
      <c r="D19" s="34">
        <f>Supuestos!$C21/Supuestos!$Q21*Supuestos!E21*Supuestos!$D21*Supuestos!E$7</f>
        <v>0</v>
      </c>
      <c r="E19" s="37">
        <f t="shared" si="0"/>
        <v>0</v>
      </c>
      <c r="F19" s="43">
        <f t="shared" si="1"/>
        <v>0</v>
      </c>
      <c r="G19" s="34">
        <f>Supuestos!$T21/Supuestos!$Q21*Supuestos!F21</f>
        <v>0</v>
      </c>
      <c r="H19" s="34">
        <f>Supuestos!$C21/Supuestos!$Q21*Supuestos!F21*Supuestos!$D21*Supuestos!F$7</f>
        <v>0</v>
      </c>
      <c r="I19" s="37">
        <f t="shared" si="2"/>
        <v>0</v>
      </c>
      <c r="J19" s="43">
        <f t="shared" si="3"/>
        <v>0</v>
      </c>
      <c r="K19" s="34">
        <f>Supuestos!$T21/Supuestos!$Q21*Supuestos!G21</f>
        <v>0</v>
      </c>
      <c r="L19" s="34">
        <f>Supuestos!$C21/Supuestos!$Q21*Supuestos!G21*Supuestos!$D21*Supuestos!G$7</f>
        <v>0</v>
      </c>
      <c r="M19" s="37">
        <f t="shared" si="4"/>
        <v>0</v>
      </c>
      <c r="N19" s="43">
        <f t="shared" si="5"/>
        <v>0</v>
      </c>
      <c r="O19" s="34">
        <f>Supuestos!$T21/Supuestos!$Q21*Supuestos!H21</f>
        <v>0</v>
      </c>
      <c r="P19" s="34">
        <f>Supuestos!$C21/Supuestos!$Q21*Supuestos!H21*Supuestos!$D21*Supuestos!H$7</f>
        <v>0</v>
      </c>
      <c r="Q19" s="37">
        <f t="shared" si="6"/>
        <v>0</v>
      </c>
      <c r="R19" s="43">
        <f t="shared" si="7"/>
        <v>0</v>
      </c>
      <c r="S19" s="34">
        <f>Supuestos!$T21/Supuestos!$Q21*Supuestos!I21</f>
        <v>0</v>
      </c>
      <c r="T19" s="34">
        <f>Supuestos!$C21/Supuestos!$Q21*Supuestos!I21*Supuestos!$D21*Supuestos!I$7</f>
        <v>0</v>
      </c>
      <c r="U19" s="37">
        <f t="shared" si="8"/>
        <v>0</v>
      </c>
      <c r="V19" s="43">
        <f t="shared" si="9"/>
        <v>0</v>
      </c>
      <c r="W19" s="34">
        <f>Supuestos!$T21/Supuestos!$Q21*Supuestos!J21</f>
        <v>0</v>
      </c>
      <c r="X19" s="34">
        <f>Supuestos!$C21/Supuestos!$Q21*Supuestos!J21*Supuestos!$D21*Supuestos!J$7</f>
        <v>0</v>
      </c>
      <c r="Y19" s="37">
        <f t="shared" si="10"/>
        <v>0</v>
      </c>
      <c r="Z19" s="43">
        <f t="shared" si="11"/>
        <v>0</v>
      </c>
      <c r="AA19" s="34">
        <f>Supuestos!$T21/Supuestos!$Q21*Supuestos!K21</f>
        <v>0</v>
      </c>
      <c r="AB19" s="34">
        <f>Supuestos!$C21/Supuestos!$Q21*Supuestos!K21*Supuestos!$D21*Supuestos!K$7</f>
        <v>0</v>
      </c>
      <c r="AC19" s="37">
        <f t="shared" si="12"/>
        <v>0</v>
      </c>
      <c r="AD19" s="43">
        <f t="shared" si="13"/>
        <v>0</v>
      </c>
      <c r="AE19" s="34">
        <f>Supuestos!$T21/Supuestos!$Q21*Supuestos!L21</f>
        <v>0</v>
      </c>
      <c r="AF19" s="34">
        <f>Supuestos!$C21/Supuestos!$Q21*Supuestos!L21*Supuestos!$D21*Supuestos!L$7</f>
        <v>0</v>
      </c>
      <c r="AG19" s="37">
        <f t="shared" si="14"/>
        <v>0</v>
      </c>
      <c r="AH19" s="43">
        <f t="shared" si="15"/>
        <v>0</v>
      </c>
      <c r="AI19" s="34">
        <f>Supuestos!$T21/Supuestos!$Q21*Supuestos!M21</f>
        <v>0</v>
      </c>
      <c r="AJ19" s="34">
        <f>Supuestos!$C21/Supuestos!$Q21*Supuestos!M21*Supuestos!$D21*Supuestos!M$7</f>
        <v>0</v>
      </c>
      <c r="AK19" s="37">
        <f t="shared" si="16"/>
        <v>0</v>
      </c>
      <c r="AL19" s="43">
        <f t="shared" si="17"/>
        <v>0</v>
      </c>
      <c r="AM19" s="34">
        <f>Supuestos!$T21/Supuestos!$Q21*Supuestos!N21</f>
        <v>0</v>
      </c>
      <c r="AN19" s="34">
        <f>Supuestos!$C21/Supuestos!$Q21*Supuestos!N21*Supuestos!$D21*Supuestos!N$7</f>
        <v>0</v>
      </c>
      <c r="AO19" s="37">
        <f t="shared" si="18"/>
        <v>0</v>
      </c>
      <c r="AP19" s="43">
        <f t="shared" si="19"/>
        <v>0</v>
      </c>
      <c r="AQ19" s="34">
        <f>Supuestos!$T21/Supuestos!$Q21*Supuestos!O21</f>
        <v>0</v>
      </c>
      <c r="AR19" s="34">
        <f>Supuestos!$C21/Supuestos!$Q21*Supuestos!O21*Supuestos!$D21*Supuestos!O$7</f>
        <v>0</v>
      </c>
      <c r="AS19" s="37">
        <f t="shared" si="20"/>
        <v>0</v>
      </c>
      <c r="AT19" s="43">
        <f t="shared" si="21"/>
        <v>0</v>
      </c>
      <c r="AU19" s="34">
        <f>Supuestos!$T21/Supuestos!$Q21*Supuestos!P21</f>
        <v>5300000</v>
      </c>
      <c r="AV19" s="34">
        <f>Supuestos!$C21/Supuestos!$Q21*Supuestos!P21*Supuestos!$D21*Supuestos!P$7</f>
        <v>22750000</v>
      </c>
      <c r="AW19" s="37">
        <f t="shared" si="22"/>
        <v>17450000</v>
      </c>
      <c r="AX19" s="43">
        <f t="shared" si="23"/>
        <v>3.2924528301886791</v>
      </c>
      <c r="AY19" s="37">
        <f t="shared" si="24"/>
        <v>5300000</v>
      </c>
      <c r="AZ19" s="37">
        <f t="shared" si="25"/>
        <v>22750000</v>
      </c>
      <c r="BA19" s="37">
        <f t="shared" si="26"/>
        <v>17450000</v>
      </c>
      <c r="BB19" s="43">
        <f t="shared" si="27"/>
        <v>3.2924528301886791</v>
      </c>
    </row>
    <row r="20" spans="1:54" x14ac:dyDescent="0.25">
      <c r="A20" s="19" t="s">
        <v>50</v>
      </c>
      <c r="B20" s="19"/>
      <c r="C20" s="20">
        <f>SUM(C21:C21)</f>
        <v>0</v>
      </c>
      <c r="D20" s="20">
        <f>SUM(D21:D21)</f>
        <v>0</v>
      </c>
      <c r="E20" s="20">
        <f t="shared" si="0"/>
        <v>0</v>
      </c>
      <c r="F20" s="21">
        <f t="shared" si="1"/>
        <v>0</v>
      </c>
      <c r="G20" s="20">
        <f>SUM(G21:G21)</f>
        <v>1000000</v>
      </c>
      <c r="H20" s="20">
        <f>SUM(H21:H21)</f>
        <v>3449999.9999999995</v>
      </c>
      <c r="I20" s="20">
        <f t="shared" si="2"/>
        <v>2449999.9999999995</v>
      </c>
      <c r="J20" s="21">
        <f t="shared" si="3"/>
        <v>2.4499999999999997</v>
      </c>
      <c r="K20" s="20">
        <f>SUM(K21:K21)</f>
        <v>0</v>
      </c>
      <c r="L20" s="20">
        <f>SUM(L21:L21)</f>
        <v>0</v>
      </c>
      <c r="M20" s="20">
        <f t="shared" si="4"/>
        <v>0</v>
      </c>
      <c r="N20" s="21">
        <f t="shared" si="5"/>
        <v>0</v>
      </c>
      <c r="O20" s="20">
        <f>SUM(O21:O21)</f>
        <v>0</v>
      </c>
      <c r="P20" s="20">
        <f>SUM(P21:P21)</f>
        <v>0</v>
      </c>
      <c r="Q20" s="20">
        <f t="shared" si="6"/>
        <v>0</v>
      </c>
      <c r="R20" s="21">
        <f t="shared" si="7"/>
        <v>0</v>
      </c>
      <c r="S20" s="20">
        <f>SUM(S21:S21)</f>
        <v>0</v>
      </c>
      <c r="T20" s="20">
        <f>SUM(T21:T21)</f>
        <v>0</v>
      </c>
      <c r="U20" s="20">
        <f t="shared" si="8"/>
        <v>0</v>
      </c>
      <c r="V20" s="21">
        <f t="shared" si="9"/>
        <v>0</v>
      </c>
      <c r="W20" s="20">
        <f>SUM(W21:W21)</f>
        <v>0</v>
      </c>
      <c r="X20" s="20">
        <f>SUM(X21:X21)</f>
        <v>0</v>
      </c>
      <c r="Y20" s="20">
        <f t="shared" si="10"/>
        <v>0</v>
      </c>
      <c r="Z20" s="21">
        <f t="shared" si="11"/>
        <v>0</v>
      </c>
      <c r="AA20" s="20">
        <f>SUM(AA21:AA21)</f>
        <v>0</v>
      </c>
      <c r="AB20" s="20">
        <f>SUM(AB21:AB21)</f>
        <v>0</v>
      </c>
      <c r="AC20" s="20">
        <f t="shared" si="12"/>
        <v>0</v>
      </c>
      <c r="AD20" s="21">
        <f t="shared" si="13"/>
        <v>0</v>
      </c>
      <c r="AE20" s="20">
        <f>SUM(AE21:AE21)</f>
        <v>1000000</v>
      </c>
      <c r="AF20" s="20">
        <f>SUM(AF21:AF21)</f>
        <v>3150000</v>
      </c>
      <c r="AG20" s="20">
        <f t="shared" si="14"/>
        <v>2150000</v>
      </c>
      <c r="AH20" s="21">
        <f t="shared" si="15"/>
        <v>2.15</v>
      </c>
      <c r="AI20" s="20">
        <f>SUM(AI21:AI21)</f>
        <v>0</v>
      </c>
      <c r="AJ20" s="20">
        <f>SUM(AJ21:AJ21)</f>
        <v>0</v>
      </c>
      <c r="AK20" s="20">
        <f t="shared" si="16"/>
        <v>0</v>
      </c>
      <c r="AL20" s="21">
        <f t="shared" si="17"/>
        <v>0</v>
      </c>
      <c r="AM20" s="20">
        <f>SUM(AM21:AM21)</f>
        <v>0</v>
      </c>
      <c r="AN20" s="20">
        <f>SUM(AN21:AN21)</f>
        <v>0</v>
      </c>
      <c r="AO20" s="20">
        <f t="shared" si="18"/>
        <v>0</v>
      </c>
      <c r="AP20" s="21">
        <f t="shared" si="19"/>
        <v>0</v>
      </c>
      <c r="AQ20" s="20">
        <f>SUM(AQ21:AQ21)</f>
        <v>0</v>
      </c>
      <c r="AR20" s="20">
        <f>SUM(AR21:AR21)</f>
        <v>0</v>
      </c>
      <c r="AS20" s="20">
        <f t="shared" si="20"/>
        <v>0</v>
      </c>
      <c r="AT20" s="21">
        <f t="shared" si="21"/>
        <v>0</v>
      </c>
      <c r="AU20" s="20">
        <f>SUM(AU21:AU21)</f>
        <v>0</v>
      </c>
      <c r="AV20" s="20">
        <f>SUM(AV21:AV21)</f>
        <v>0</v>
      </c>
      <c r="AW20" s="20">
        <f t="shared" si="22"/>
        <v>0</v>
      </c>
      <c r="AX20" s="21">
        <f t="shared" si="23"/>
        <v>0</v>
      </c>
      <c r="AY20" s="20">
        <f t="shared" si="24"/>
        <v>2000000</v>
      </c>
      <c r="AZ20" s="20">
        <f t="shared" si="25"/>
        <v>6600000</v>
      </c>
      <c r="BA20" s="20">
        <f t="shared" si="26"/>
        <v>4600000</v>
      </c>
      <c r="BB20" s="21">
        <f t="shared" si="27"/>
        <v>2.2999999999999998</v>
      </c>
    </row>
    <row r="21" spans="1:54" x14ac:dyDescent="0.25">
      <c r="A21" s="2" t="s">
        <v>13</v>
      </c>
      <c r="B21" s="27" t="str">
        <f>Supuestos!B22</f>
        <v>Semana de bienvenida universitaria</v>
      </c>
      <c r="C21" s="34">
        <f>Supuestos!$T22/Supuestos!$Q22*Supuestos!E22</f>
        <v>0</v>
      </c>
      <c r="D21" s="34">
        <f>Supuestos!$C22/Supuestos!$Q22*Supuestos!E22*Supuestos!$D22*Supuestos!E$7</f>
        <v>0</v>
      </c>
      <c r="E21" s="37">
        <f t="shared" si="0"/>
        <v>0</v>
      </c>
      <c r="F21" s="43">
        <f t="shared" si="1"/>
        <v>0</v>
      </c>
      <c r="G21" s="34">
        <f>Supuestos!$T22/Supuestos!$Q22*Supuestos!F22</f>
        <v>1000000</v>
      </c>
      <c r="H21" s="34">
        <f>Supuestos!$C22/Supuestos!$Q22*Supuestos!F22*Supuestos!$D22*Supuestos!F$7</f>
        <v>3449999.9999999995</v>
      </c>
      <c r="I21" s="37">
        <f t="shared" si="2"/>
        <v>2449999.9999999995</v>
      </c>
      <c r="J21" s="43">
        <f t="shared" si="3"/>
        <v>2.4499999999999997</v>
      </c>
      <c r="K21" s="34">
        <f>Supuestos!$T22/Supuestos!$Q22*Supuestos!G22</f>
        <v>0</v>
      </c>
      <c r="L21" s="34">
        <f>Supuestos!$C22/Supuestos!$Q22*Supuestos!G22*Supuestos!$D22*Supuestos!G$7</f>
        <v>0</v>
      </c>
      <c r="M21" s="37">
        <f t="shared" si="4"/>
        <v>0</v>
      </c>
      <c r="N21" s="43">
        <f t="shared" si="5"/>
        <v>0</v>
      </c>
      <c r="O21" s="34">
        <f>Supuestos!$T22/Supuestos!$Q22*Supuestos!H22</f>
        <v>0</v>
      </c>
      <c r="P21" s="34">
        <f>Supuestos!$C22/Supuestos!$Q22*Supuestos!H22*Supuestos!$D22*Supuestos!H$7</f>
        <v>0</v>
      </c>
      <c r="Q21" s="37">
        <f t="shared" si="6"/>
        <v>0</v>
      </c>
      <c r="R21" s="43">
        <f t="shared" si="7"/>
        <v>0</v>
      </c>
      <c r="S21" s="34">
        <f>Supuestos!$T22/Supuestos!$Q22*Supuestos!I22</f>
        <v>0</v>
      </c>
      <c r="T21" s="34">
        <f>Supuestos!$C22/Supuestos!$Q22*Supuestos!I22*Supuestos!$D22*Supuestos!I$7</f>
        <v>0</v>
      </c>
      <c r="U21" s="37">
        <f t="shared" si="8"/>
        <v>0</v>
      </c>
      <c r="V21" s="43">
        <f t="shared" si="9"/>
        <v>0</v>
      </c>
      <c r="W21" s="34">
        <f>Supuestos!$T22/Supuestos!$Q22*Supuestos!J22</f>
        <v>0</v>
      </c>
      <c r="X21" s="34">
        <f>Supuestos!$C22/Supuestos!$Q22*Supuestos!J22*Supuestos!$D22*Supuestos!J$7</f>
        <v>0</v>
      </c>
      <c r="Y21" s="37">
        <f t="shared" si="10"/>
        <v>0</v>
      </c>
      <c r="Z21" s="43">
        <f t="shared" si="11"/>
        <v>0</v>
      </c>
      <c r="AA21" s="34">
        <f>Supuestos!$T22/Supuestos!$Q22*Supuestos!K22</f>
        <v>0</v>
      </c>
      <c r="AB21" s="34">
        <f>Supuestos!$C22/Supuestos!$Q22*Supuestos!K22*Supuestos!$D22*Supuestos!K$7</f>
        <v>0</v>
      </c>
      <c r="AC21" s="37">
        <f t="shared" si="12"/>
        <v>0</v>
      </c>
      <c r="AD21" s="43">
        <f t="shared" si="13"/>
        <v>0</v>
      </c>
      <c r="AE21" s="34">
        <f>Supuestos!$T22/Supuestos!$Q22*Supuestos!L22</f>
        <v>1000000</v>
      </c>
      <c r="AF21" s="34">
        <f>Supuestos!$C22/Supuestos!$Q22*Supuestos!L22*Supuestos!$D22*Supuestos!L$7</f>
        <v>3150000</v>
      </c>
      <c r="AG21" s="37">
        <f t="shared" si="14"/>
        <v>2150000</v>
      </c>
      <c r="AH21" s="43">
        <f t="shared" si="15"/>
        <v>2.15</v>
      </c>
      <c r="AI21" s="34">
        <f>Supuestos!$T22/Supuestos!$Q22*Supuestos!M22</f>
        <v>0</v>
      </c>
      <c r="AJ21" s="34">
        <f>Supuestos!$C22/Supuestos!$Q22*Supuestos!M22*Supuestos!$D22*Supuestos!M$7</f>
        <v>0</v>
      </c>
      <c r="AK21" s="37">
        <f t="shared" si="16"/>
        <v>0</v>
      </c>
      <c r="AL21" s="43">
        <f t="shared" si="17"/>
        <v>0</v>
      </c>
      <c r="AM21" s="34">
        <f>Supuestos!$T22/Supuestos!$Q22*Supuestos!N22</f>
        <v>0</v>
      </c>
      <c r="AN21" s="34">
        <f>Supuestos!$C22/Supuestos!$Q22*Supuestos!N22*Supuestos!$D22*Supuestos!N$7</f>
        <v>0</v>
      </c>
      <c r="AO21" s="37">
        <f t="shared" si="18"/>
        <v>0</v>
      </c>
      <c r="AP21" s="43">
        <f t="shared" si="19"/>
        <v>0</v>
      </c>
      <c r="AQ21" s="34">
        <f>Supuestos!$T22/Supuestos!$Q22*Supuestos!O22</f>
        <v>0</v>
      </c>
      <c r="AR21" s="34">
        <f>Supuestos!$C22/Supuestos!$Q22*Supuestos!O22*Supuestos!$D22*Supuestos!O$7</f>
        <v>0</v>
      </c>
      <c r="AS21" s="37">
        <f t="shared" si="20"/>
        <v>0</v>
      </c>
      <c r="AT21" s="43">
        <f t="shared" si="21"/>
        <v>0</v>
      </c>
      <c r="AU21" s="34">
        <f>Supuestos!$T22/Supuestos!$Q22*Supuestos!P22</f>
        <v>0</v>
      </c>
      <c r="AV21" s="34">
        <f>Supuestos!$C22/Supuestos!$Q22*Supuestos!P22*Supuestos!$D22*Supuestos!P$7</f>
        <v>0</v>
      </c>
      <c r="AW21" s="37">
        <f t="shared" si="22"/>
        <v>0</v>
      </c>
      <c r="AX21" s="43">
        <f t="shared" si="23"/>
        <v>0</v>
      </c>
      <c r="AY21" s="37">
        <f t="shared" si="24"/>
        <v>2000000</v>
      </c>
      <c r="AZ21" s="37">
        <f t="shared" si="25"/>
        <v>6600000</v>
      </c>
      <c r="BA21" s="37">
        <f t="shared" si="26"/>
        <v>4600000</v>
      </c>
      <c r="BB21" s="43">
        <f t="shared" si="27"/>
        <v>2.2999999999999998</v>
      </c>
    </row>
    <row r="23" spans="1:54" x14ac:dyDescent="0.25">
      <c r="A23" s="13" t="s">
        <v>51</v>
      </c>
      <c r="B23" s="13"/>
      <c r="C23" s="14">
        <f>C6+C9+C14+C17+C20</f>
        <v>8850000</v>
      </c>
      <c r="D23" s="13"/>
      <c r="E23" s="13"/>
      <c r="F23" s="13"/>
      <c r="G23" s="14">
        <f>G6+G9+G14+G17+G20</f>
        <v>10077272.727272727</v>
      </c>
      <c r="H23" s="13"/>
      <c r="I23" s="13"/>
      <c r="J23" s="13"/>
      <c r="K23" s="14">
        <f>K6+K9+K14+K17+K20</f>
        <v>4177272.7272727275</v>
      </c>
      <c r="L23" s="13"/>
      <c r="M23" s="13"/>
      <c r="N23" s="13"/>
      <c r="O23" s="14">
        <f>O6+O9+O14+O17+O20</f>
        <v>4677272.7272727275</v>
      </c>
      <c r="P23" s="13"/>
      <c r="Q23" s="13"/>
      <c r="R23" s="13"/>
      <c r="S23" s="14">
        <f>S6+S9+S14+S17+S20</f>
        <v>4677272.7272727275</v>
      </c>
      <c r="T23" s="13"/>
      <c r="U23" s="13"/>
      <c r="V23" s="13"/>
      <c r="W23" s="14">
        <f>W6+W9+W14+W17+W20</f>
        <v>4677272.7272727275</v>
      </c>
      <c r="X23" s="13"/>
      <c r="Y23" s="13"/>
      <c r="Z23" s="13"/>
      <c r="AA23" s="14">
        <f>AA6+AA9+AA14+AA17+AA20</f>
        <v>4677272.7272727275</v>
      </c>
      <c r="AB23" s="13"/>
      <c r="AC23" s="13"/>
      <c r="AD23" s="13"/>
      <c r="AE23" s="14">
        <f>AE6+AE9+AE14+AE17+AE20</f>
        <v>5177272.7272727275</v>
      </c>
      <c r="AF23" s="13"/>
      <c r="AG23" s="13"/>
      <c r="AH23" s="13"/>
      <c r="AI23" s="14">
        <f>AI6+AI9+AI14+AI17+AI20</f>
        <v>4177272.7272727275</v>
      </c>
      <c r="AJ23" s="13"/>
      <c r="AK23" s="13"/>
      <c r="AL23" s="13"/>
      <c r="AM23" s="14">
        <f>AM6+AM9+AM14+AM17+AM20</f>
        <v>4177272.7272727275</v>
      </c>
      <c r="AN23" s="13"/>
      <c r="AO23" s="13"/>
      <c r="AP23" s="13"/>
      <c r="AQ23" s="14">
        <f>AQ6+AQ9+AQ14+AQ17+AQ20</f>
        <v>4177272.7272727275</v>
      </c>
      <c r="AR23" s="13"/>
      <c r="AS23" s="13"/>
      <c r="AT23" s="13"/>
      <c r="AU23" s="14">
        <f>AU6+AU9+AU14+AU17+AU20</f>
        <v>9477272.7272727266</v>
      </c>
      <c r="AV23" s="13"/>
      <c r="AW23" s="13"/>
      <c r="AX23" s="13"/>
      <c r="AY23" s="14">
        <f>AY6+AY9+AY14+AY17+AY20</f>
        <v>69000000</v>
      </c>
      <c r="AZ23" s="13"/>
      <c r="BA23" s="13"/>
      <c r="BB23" s="13"/>
    </row>
    <row r="24" spans="1:54" x14ac:dyDescent="0.25">
      <c r="A24" s="13" t="s">
        <v>52</v>
      </c>
      <c r="B24" s="13"/>
      <c r="C24" s="13"/>
      <c r="D24" s="14">
        <f>D6+D9+D14+D17+D20</f>
        <v>27720000</v>
      </c>
      <c r="E24" s="13"/>
      <c r="F24" s="13"/>
      <c r="G24" s="13"/>
      <c r="H24" s="14">
        <f>H6+H9+H14+H17+H20</f>
        <v>35346818.18181818</v>
      </c>
      <c r="I24" s="13"/>
      <c r="J24" s="13"/>
      <c r="K24" s="13"/>
      <c r="L24" s="14">
        <f>L6+L9+L14+L17+L20</f>
        <v>14324727.272727273</v>
      </c>
      <c r="M24" s="13"/>
      <c r="N24" s="13"/>
      <c r="O24" s="13"/>
      <c r="P24" s="14">
        <f>P6+P9+P14+P17+P20</f>
        <v>15441409.090909092</v>
      </c>
      <c r="Q24" s="13"/>
      <c r="R24" s="13"/>
      <c r="S24" s="13"/>
      <c r="T24" s="14">
        <f>T6+T9+T14+T17+T20</f>
        <v>19074681.81818182</v>
      </c>
      <c r="U24" s="13"/>
      <c r="V24" s="13"/>
      <c r="W24" s="13"/>
      <c r="X24" s="14">
        <f>X6+X9+X14+X17+X20</f>
        <v>17258045.454545453</v>
      </c>
      <c r="Y24" s="13"/>
      <c r="Z24" s="13"/>
      <c r="AA24" s="13"/>
      <c r="AB24" s="14">
        <f>AB6+AB9+AB14+AB17+AB20</f>
        <v>18166363.636363637</v>
      </c>
      <c r="AC24" s="13"/>
      <c r="AD24" s="13"/>
      <c r="AE24" s="13"/>
      <c r="AF24" s="14">
        <f>AF6+AF9+AF14+AF17+AF20</f>
        <v>19862181.81818182</v>
      </c>
      <c r="AG24" s="13"/>
      <c r="AH24" s="13"/>
      <c r="AI24" s="13"/>
      <c r="AJ24" s="14">
        <f>AJ6+AJ9+AJ14+AJ17+AJ20</f>
        <v>17508000</v>
      </c>
      <c r="AK24" s="13"/>
      <c r="AL24" s="13"/>
      <c r="AM24" s="13"/>
      <c r="AN24" s="14">
        <f>AN6+AN9+AN14+AN17+AN20</f>
        <v>17508000</v>
      </c>
      <c r="AO24" s="13"/>
      <c r="AP24" s="13"/>
      <c r="AQ24" s="13"/>
      <c r="AR24" s="14">
        <f>AR6+AR9+AR14+AR17+AR20</f>
        <v>18303818.18181818</v>
      </c>
      <c r="AS24" s="13"/>
      <c r="AT24" s="13"/>
      <c r="AU24" s="13"/>
      <c r="AV24" s="14">
        <f>AV6+AV9+AV14+AV17+AV20</f>
        <v>43441272.727272727</v>
      </c>
      <c r="AW24" s="13"/>
      <c r="AX24" s="13"/>
      <c r="AY24" s="13"/>
      <c r="AZ24" s="14">
        <f>AZ6+AZ9+AZ14+AZ17+AZ20</f>
        <v>263955318.18181816</v>
      </c>
      <c r="BA24" s="13"/>
      <c r="BB24" s="13"/>
    </row>
    <row r="25" spans="1:54" x14ac:dyDescent="0.25">
      <c r="A25" s="13" t="s">
        <v>53</v>
      </c>
      <c r="B25" s="13"/>
      <c r="C25" s="13"/>
      <c r="D25" s="13"/>
      <c r="E25" s="14">
        <f>D24-C23</f>
        <v>18870000</v>
      </c>
      <c r="F25" s="13"/>
      <c r="G25" s="13"/>
      <c r="H25" s="13"/>
      <c r="I25" s="14">
        <f>H24-G23</f>
        <v>25269545.454545453</v>
      </c>
      <c r="J25" s="13"/>
      <c r="K25" s="13"/>
      <c r="L25" s="13"/>
      <c r="M25" s="14">
        <f>L24-K23</f>
        <v>10147454.545454547</v>
      </c>
      <c r="N25" s="13"/>
      <c r="O25" s="13"/>
      <c r="P25" s="13"/>
      <c r="Q25" s="14">
        <f>P24-O23</f>
        <v>10764136.363636363</v>
      </c>
      <c r="R25" s="13"/>
      <c r="S25" s="13"/>
      <c r="T25" s="13"/>
      <c r="U25" s="14">
        <f>T24-S23</f>
        <v>14397409.090909094</v>
      </c>
      <c r="V25" s="13"/>
      <c r="W25" s="13"/>
      <c r="X25" s="13"/>
      <c r="Y25" s="14">
        <f>X24-W23</f>
        <v>12580772.727272727</v>
      </c>
      <c r="Z25" s="13"/>
      <c r="AA25" s="13"/>
      <c r="AB25" s="13"/>
      <c r="AC25" s="14">
        <f>AB24-AA23</f>
        <v>13489090.90909091</v>
      </c>
      <c r="AD25" s="13"/>
      <c r="AE25" s="13"/>
      <c r="AF25" s="13"/>
      <c r="AG25" s="14">
        <f>AF24-AE23</f>
        <v>14684909.090909094</v>
      </c>
      <c r="AH25" s="13"/>
      <c r="AI25" s="13"/>
      <c r="AJ25" s="13"/>
      <c r="AK25" s="14">
        <f>AJ24-AI23</f>
        <v>13330727.272727273</v>
      </c>
      <c r="AL25" s="13"/>
      <c r="AM25" s="13"/>
      <c r="AN25" s="13"/>
      <c r="AO25" s="14">
        <f>AN24-AM23</f>
        <v>13330727.272727273</v>
      </c>
      <c r="AP25" s="13"/>
      <c r="AQ25" s="13"/>
      <c r="AR25" s="13"/>
      <c r="AS25" s="14">
        <f>AR24-AQ23</f>
        <v>14126545.454545453</v>
      </c>
      <c r="AT25" s="13"/>
      <c r="AU25" s="13"/>
      <c r="AV25" s="13"/>
      <c r="AW25" s="14">
        <f>AV24-AU23</f>
        <v>33964000</v>
      </c>
      <c r="AX25" s="13"/>
      <c r="AY25" s="13"/>
      <c r="AZ25" s="13"/>
      <c r="BA25" s="14">
        <f>AZ24-AY23</f>
        <v>194955318.18181816</v>
      </c>
      <c r="BB25" s="13"/>
    </row>
    <row r="26" spans="1:54" x14ac:dyDescent="0.25">
      <c r="A26" s="13" t="s">
        <v>54</v>
      </c>
      <c r="B26" s="13"/>
      <c r="C26" s="13"/>
      <c r="D26" s="13"/>
      <c r="E26" s="13"/>
      <c r="F26" s="15">
        <f>IF(C23=0,0,E25/C23)</f>
        <v>2.1322033898305084</v>
      </c>
      <c r="G26" s="13"/>
      <c r="H26" s="13"/>
      <c r="I26" s="13"/>
      <c r="J26" s="15">
        <f>IF(G23=0,0,I25/G23)</f>
        <v>2.5075778078484441</v>
      </c>
      <c r="K26" s="13"/>
      <c r="L26" s="13"/>
      <c r="M26" s="13"/>
      <c r="N26" s="15">
        <f>IF(K23=0,0,M25/K23)</f>
        <v>2.4292056583242658</v>
      </c>
      <c r="O26" s="13"/>
      <c r="P26" s="13"/>
      <c r="Q26" s="13"/>
      <c r="R26" s="15">
        <f>IF(O23=0,0,Q25/O23)</f>
        <v>2.3013702623906704</v>
      </c>
      <c r="S26" s="13"/>
      <c r="T26" s="13"/>
      <c r="U26" s="13"/>
      <c r="V26" s="15">
        <f>IF(S23=0,0,U25/S23)</f>
        <v>3.0781632653061228</v>
      </c>
      <c r="W26" s="13"/>
      <c r="X26" s="13"/>
      <c r="Y26" s="13"/>
      <c r="Z26" s="15">
        <f>IF(W23=0,0,Y25/W23)</f>
        <v>2.6897667638483962</v>
      </c>
      <c r="AA26" s="13"/>
      <c r="AB26" s="13"/>
      <c r="AC26" s="13"/>
      <c r="AD26" s="15">
        <f>IF(AA23=0,0,AC25/AA23)</f>
        <v>2.8839650145772597</v>
      </c>
      <c r="AE26" s="13"/>
      <c r="AF26" s="13"/>
      <c r="AG26" s="13"/>
      <c r="AH26" s="15">
        <f>IF(AE23=0,0,AG25/AE23)</f>
        <v>2.8364179104477616</v>
      </c>
      <c r="AI26" s="13"/>
      <c r="AJ26" s="13"/>
      <c r="AK26" s="13"/>
      <c r="AL26" s="15">
        <f>IF(AI23=0,0,AK25/AI23)</f>
        <v>3.1912513601741024</v>
      </c>
      <c r="AM26" s="13"/>
      <c r="AN26" s="13"/>
      <c r="AO26" s="13"/>
      <c r="AP26" s="15">
        <f>IF(AM23=0,0,AO25/AM23)</f>
        <v>3.1912513601741024</v>
      </c>
      <c r="AQ26" s="13"/>
      <c r="AR26" s="13"/>
      <c r="AS26" s="13"/>
      <c r="AT26" s="15">
        <f>IF(AQ23=0,0,AS25/AQ23)</f>
        <v>3.3817627856365609</v>
      </c>
      <c r="AU26" s="13"/>
      <c r="AV26" s="13"/>
      <c r="AW26" s="13"/>
      <c r="AX26" s="15">
        <f>IF(AU23=0,0,AW25/AU23)</f>
        <v>3.5837314148681059</v>
      </c>
      <c r="AY26" s="13"/>
      <c r="AZ26" s="13"/>
      <c r="BA26" s="13"/>
      <c r="BB26" s="15">
        <f>IF(AY23=0,0,BA25/AY23)</f>
        <v>2.8254393939393938</v>
      </c>
    </row>
    <row r="27" spans="1:54" x14ac:dyDescent="0.25">
      <c r="A27" s="13" t="s">
        <v>55</v>
      </c>
      <c r="B27" s="13"/>
      <c r="C27" s="13"/>
      <c r="D27" s="13"/>
      <c r="E27" s="13"/>
      <c r="F27" s="16">
        <f>IF(C23=0,0,D24/C23)</f>
        <v>3.1322033898305084</v>
      </c>
      <c r="G27" s="13"/>
      <c r="H27" s="13"/>
      <c r="I27" s="13"/>
      <c r="J27" s="16">
        <f>IF(G23=0,0,H24/G23)</f>
        <v>3.5075778078484441</v>
      </c>
      <c r="K27" s="13"/>
      <c r="L27" s="13"/>
      <c r="M27" s="13"/>
      <c r="N27" s="16">
        <f>IF(K23=0,0,L24/K23)</f>
        <v>3.4292056583242654</v>
      </c>
      <c r="O27" s="13"/>
      <c r="P27" s="13"/>
      <c r="Q27" s="13"/>
      <c r="R27" s="16">
        <f>IF(O23=0,0,P24/O23)</f>
        <v>3.3013702623906704</v>
      </c>
      <c r="S27" s="13"/>
      <c r="T27" s="13"/>
      <c r="U27" s="13"/>
      <c r="V27" s="16">
        <f>IF(S23=0,0,T24/S23)</f>
        <v>4.0781632653061228</v>
      </c>
      <c r="W27" s="13"/>
      <c r="X27" s="13"/>
      <c r="Y27" s="13"/>
      <c r="Z27" s="16">
        <f>IF(W23=0,0,X24/W23)</f>
        <v>3.6897667638483962</v>
      </c>
      <c r="AA27" s="13"/>
      <c r="AB27" s="13"/>
      <c r="AC27" s="13"/>
      <c r="AD27" s="16">
        <f>IF(AA23=0,0,AB24/AA23)</f>
        <v>3.8839650145772593</v>
      </c>
      <c r="AE27" s="13"/>
      <c r="AF27" s="13"/>
      <c r="AG27" s="13"/>
      <c r="AH27" s="16">
        <f>IF(AE23=0,0,AF24/AE23)</f>
        <v>3.8364179104477616</v>
      </c>
      <c r="AI27" s="13"/>
      <c r="AJ27" s="13"/>
      <c r="AK27" s="13"/>
      <c r="AL27" s="16">
        <f>IF(AI23=0,0,AJ24/AI23)</f>
        <v>4.1912513601741024</v>
      </c>
      <c r="AM27" s="13"/>
      <c r="AN27" s="13"/>
      <c r="AO27" s="13"/>
      <c r="AP27" s="16">
        <f>IF(AM23=0,0,AN24/AM23)</f>
        <v>4.1912513601741024</v>
      </c>
      <c r="AQ27" s="13"/>
      <c r="AR27" s="13"/>
      <c r="AS27" s="13"/>
      <c r="AT27" s="16">
        <f>IF(AQ23=0,0,AR24/AQ23)</f>
        <v>4.3817627856365604</v>
      </c>
      <c r="AU27" s="13"/>
      <c r="AV27" s="13"/>
      <c r="AW27" s="13"/>
      <c r="AX27" s="16">
        <f>IF(AU23=0,0,AV24/AU23)</f>
        <v>4.5837314148681054</v>
      </c>
      <c r="AY27" s="13"/>
      <c r="AZ27" s="13"/>
      <c r="BA27" s="13"/>
      <c r="BB27" s="16">
        <f>IF(AY23=0,0,AZ24/AY23)</f>
        <v>3.8254393939393938</v>
      </c>
    </row>
    <row r="29" spans="1:54" x14ac:dyDescent="0.25">
      <c r="A29" s="18" t="s">
        <v>56</v>
      </c>
      <c r="C29" s="22" t="str">
        <f>IF(ABS(AY23-Supuestos!T23)&lt;1,"OK ✓ cuadra con el presupuesto","REVISAR")</f>
        <v>OK ✓ cuadra con el presupuesto</v>
      </c>
    </row>
  </sheetData>
  <mergeCells count="3">
    <mergeCell ref="AY4:BB4"/>
    <mergeCell ref="A4:A5"/>
    <mergeCell ref="B4:B5"/>
  </mergeCells>
  <pageMargins left="0.75" right="0.75" top="1" bottom="1" header="0.511811023622047" footer="0.511811023622047"/>
  <pageSetup paperSize="8"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26"/>
  <sheetViews>
    <sheetView zoomScaleNormal="100" workbookViewId="0">
      <pane xSplit="2" ySplit="11" topLeftCell="H15" activePane="bottomRight" state="frozen"/>
      <selection pane="topRight" activeCell="C1" sqref="C1"/>
      <selection pane="bottomLeft" activeCell="A12" sqref="A12"/>
      <selection pane="bottomRight" activeCell="H10" sqref="H10"/>
    </sheetView>
  </sheetViews>
  <sheetFormatPr baseColWidth="10" defaultColWidth="8.7109375" defaultRowHeight="15" x14ac:dyDescent="0.25"/>
  <cols>
    <col min="1" max="1" width="26" customWidth="1"/>
    <col min="2" max="2" width="46" customWidth="1"/>
    <col min="3" max="3" width="17" customWidth="1"/>
    <col min="4" max="4" width="10" customWidth="1"/>
    <col min="5" max="16" width="5.5703125" customWidth="1"/>
    <col min="17" max="18" width="8" customWidth="1"/>
    <col min="19" max="19" width="15" customWidth="1"/>
    <col min="20" max="20" width="16" customWidth="1"/>
    <col min="21" max="21" width="18" customWidth="1"/>
  </cols>
  <sheetData>
    <row r="1" spans="1:21" s="41" customFormat="1" ht="16.5" x14ac:dyDescent="0.25">
      <c r="A1" s="31" t="s">
        <v>57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</row>
    <row r="3" spans="1:21" x14ac:dyDescent="0.25">
      <c r="C3" s="39">
        <v>1800000</v>
      </c>
      <c r="D3" s="23"/>
    </row>
    <row r="5" spans="1:21" x14ac:dyDescent="0.25">
      <c r="A5" s="17" t="s">
        <v>58</v>
      </c>
    </row>
    <row r="6" spans="1:21" x14ac:dyDescent="0.25">
      <c r="A6" t="s">
        <v>21</v>
      </c>
      <c r="E6" s="24" t="s">
        <v>59</v>
      </c>
      <c r="F6" s="24" t="s">
        <v>60</v>
      </c>
      <c r="G6" s="24" t="s">
        <v>61</v>
      </c>
      <c r="H6" s="24" t="s">
        <v>62</v>
      </c>
      <c r="I6" s="24" t="s">
        <v>63</v>
      </c>
      <c r="J6" s="24" t="s">
        <v>64</v>
      </c>
      <c r="K6" s="24" t="s">
        <v>65</v>
      </c>
      <c r="L6" s="24" t="s">
        <v>66</v>
      </c>
      <c r="M6" s="24" t="s">
        <v>67</v>
      </c>
      <c r="N6" s="24" t="s">
        <v>68</v>
      </c>
      <c r="O6" s="24" t="s">
        <v>69</v>
      </c>
      <c r="P6" s="24" t="s">
        <v>70</v>
      </c>
    </row>
    <row r="7" spans="1:21" x14ac:dyDescent="0.25">
      <c r="A7" t="s">
        <v>71</v>
      </c>
      <c r="E7" s="38">
        <v>1.2</v>
      </c>
      <c r="F7" s="38">
        <v>1.1499999999999999</v>
      </c>
      <c r="G7" s="38">
        <v>0.9</v>
      </c>
      <c r="H7" s="38">
        <v>0.85</v>
      </c>
      <c r="I7" s="38">
        <v>1.05</v>
      </c>
      <c r="J7" s="38">
        <v>0.95</v>
      </c>
      <c r="K7" s="38">
        <v>1</v>
      </c>
      <c r="L7" s="38">
        <v>1.05</v>
      </c>
      <c r="M7" s="38">
        <v>1.1000000000000001</v>
      </c>
      <c r="N7" s="38">
        <v>1.1000000000000001</v>
      </c>
      <c r="O7" s="38">
        <v>1.1499999999999999</v>
      </c>
      <c r="P7" s="38">
        <v>1.3</v>
      </c>
    </row>
    <row r="8" spans="1:21" x14ac:dyDescent="0.25">
      <c r="A8" s="18"/>
    </row>
    <row r="10" spans="1:21" x14ac:dyDescent="0.25">
      <c r="A10" s="17" t="s">
        <v>72</v>
      </c>
    </row>
    <row r="11" spans="1:21" ht="39.75" customHeight="1" x14ac:dyDescent="0.25">
      <c r="A11" s="30" t="s">
        <v>2</v>
      </c>
      <c r="B11" s="30" t="s">
        <v>16</v>
      </c>
      <c r="C11" s="30" t="s">
        <v>73</v>
      </c>
      <c r="D11" s="30" t="s">
        <v>74</v>
      </c>
      <c r="E11" s="30" t="s">
        <v>59</v>
      </c>
      <c r="F11" s="30" t="s">
        <v>60</v>
      </c>
      <c r="G11" s="30" t="s">
        <v>61</v>
      </c>
      <c r="H11" s="30" t="s">
        <v>62</v>
      </c>
      <c r="I11" s="30" t="s">
        <v>63</v>
      </c>
      <c r="J11" s="30" t="s">
        <v>64</v>
      </c>
      <c r="K11" s="30" t="s">
        <v>65</v>
      </c>
      <c r="L11" s="30" t="s">
        <v>66</v>
      </c>
      <c r="M11" s="30" t="s">
        <v>67</v>
      </c>
      <c r="N11" s="30" t="s">
        <v>68</v>
      </c>
      <c r="O11" s="30" t="s">
        <v>69</v>
      </c>
      <c r="P11" s="30" t="s">
        <v>70</v>
      </c>
      <c r="Q11" s="30" t="s">
        <v>17</v>
      </c>
      <c r="R11" s="30" t="s">
        <v>75</v>
      </c>
      <c r="S11" s="30" t="s">
        <v>76</v>
      </c>
      <c r="T11" s="30" t="s">
        <v>77</v>
      </c>
      <c r="U11" s="30" t="s">
        <v>78</v>
      </c>
    </row>
    <row r="12" spans="1:21" x14ac:dyDescent="0.25">
      <c r="A12" s="33" t="s">
        <v>9</v>
      </c>
      <c r="B12" s="33" t="s">
        <v>79</v>
      </c>
      <c r="C12" s="34">
        <v>3000000</v>
      </c>
      <c r="D12" s="35">
        <v>3</v>
      </c>
      <c r="E12" s="28">
        <v>1</v>
      </c>
      <c r="F12" s="28">
        <v>0</v>
      </c>
      <c r="G12" s="28">
        <v>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36">
        <f t="shared" ref="Q12:Q22" si="0">SUM(E12:P12)</f>
        <v>1</v>
      </c>
      <c r="R12" s="28">
        <v>1</v>
      </c>
      <c r="S12" s="37">
        <f>R12*$C$3</f>
        <v>1800000</v>
      </c>
      <c r="T12" s="37">
        <f t="shared" ref="T12:T22" si="1">C12+S12</f>
        <v>4800000</v>
      </c>
      <c r="U12" s="33" t="s">
        <v>80</v>
      </c>
    </row>
    <row r="13" spans="1:21" x14ac:dyDescent="0.25">
      <c r="A13" s="33" t="s">
        <v>9</v>
      </c>
      <c r="B13" s="33" t="s">
        <v>81</v>
      </c>
      <c r="C13" s="34">
        <v>2000000</v>
      </c>
      <c r="D13" s="35">
        <v>3.5</v>
      </c>
      <c r="E13" s="28">
        <v>1</v>
      </c>
      <c r="F13" s="28">
        <v>1</v>
      </c>
      <c r="G13" s="28">
        <v>0</v>
      </c>
      <c r="H13" s="28">
        <v>0</v>
      </c>
      <c r="I13" s="28">
        <v>0</v>
      </c>
      <c r="J13" s="28">
        <v>0</v>
      </c>
      <c r="K13" s="28">
        <v>0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36">
        <f t="shared" si="0"/>
        <v>2</v>
      </c>
      <c r="R13" s="28">
        <v>0</v>
      </c>
      <c r="S13" s="37">
        <f>R13*$C$3</f>
        <v>0</v>
      </c>
      <c r="T13" s="37">
        <f t="shared" si="1"/>
        <v>2000000</v>
      </c>
      <c r="U13" s="33" t="s">
        <v>82</v>
      </c>
    </row>
    <row r="14" spans="1:21" x14ac:dyDescent="0.25">
      <c r="A14" s="33" t="s">
        <v>10</v>
      </c>
      <c r="B14" s="33" t="s">
        <v>83</v>
      </c>
      <c r="C14" s="34">
        <v>9600000</v>
      </c>
      <c r="D14" s="35">
        <v>2.5</v>
      </c>
      <c r="E14" s="28">
        <v>1</v>
      </c>
      <c r="F14" s="28">
        <v>1</v>
      </c>
      <c r="G14" s="28">
        <v>1</v>
      </c>
      <c r="H14" s="28">
        <v>1</v>
      </c>
      <c r="I14" s="28">
        <v>1</v>
      </c>
      <c r="J14" s="28">
        <v>1</v>
      </c>
      <c r="K14" s="28">
        <v>1</v>
      </c>
      <c r="L14" s="28">
        <v>1</v>
      </c>
      <c r="M14" s="28">
        <v>1</v>
      </c>
      <c r="N14" s="28">
        <v>1</v>
      </c>
      <c r="O14" s="28">
        <v>1</v>
      </c>
      <c r="P14" s="28">
        <v>1</v>
      </c>
      <c r="Q14" s="36">
        <f t="shared" si="0"/>
        <v>12</v>
      </c>
      <c r="R14" s="28">
        <v>1</v>
      </c>
      <c r="S14" s="37">
        <f>R14*$C$3</f>
        <v>1800000</v>
      </c>
      <c r="T14" s="37">
        <f t="shared" si="1"/>
        <v>11400000</v>
      </c>
      <c r="U14" s="33" t="s">
        <v>84</v>
      </c>
    </row>
    <row r="15" spans="1:21" x14ac:dyDescent="0.25">
      <c r="A15" s="33" t="s">
        <v>10</v>
      </c>
      <c r="B15" s="33" t="s">
        <v>85</v>
      </c>
      <c r="C15" s="34">
        <v>1200000</v>
      </c>
      <c r="D15" s="35">
        <v>6</v>
      </c>
      <c r="E15" s="28">
        <v>1</v>
      </c>
      <c r="F15" s="28">
        <v>1</v>
      </c>
      <c r="G15" s="28">
        <v>1</v>
      </c>
      <c r="H15" s="28">
        <v>1</v>
      </c>
      <c r="I15" s="28">
        <v>1</v>
      </c>
      <c r="J15" s="28">
        <v>1</v>
      </c>
      <c r="K15" s="28">
        <v>1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36">
        <f t="shared" si="0"/>
        <v>12</v>
      </c>
      <c r="R15" s="28">
        <v>0</v>
      </c>
      <c r="S15" s="37">
        <f>R15*$C$3</f>
        <v>0</v>
      </c>
      <c r="T15" s="37">
        <f t="shared" si="1"/>
        <v>1200000</v>
      </c>
      <c r="U15" s="33" t="s">
        <v>84</v>
      </c>
    </row>
    <row r="16" spans="1:21" x14ac:dyDescent="0.25">
      <c r="A16" s="33" t="s">
        <v>10</v>
      </c>
      <c r="B16" s="33" t="s">
        <v>86</v>
      </c>
      <c r="C16" s="34">
        <v>24000000</v>
      </c>
      <c r="D16" s="35">
        <v>4</v>
      </c>
      <c r="E16" s="28">
        <v>1</v>
      </c>
      <c r="F16" s="28">
        <v>1</v>
      </c>
      <c r="G16" s="28">
        <v>1</v>
      </c>
      <c r="H16" s="28">
        <v>1</v>
      </c>
      <c r="I16" s="28">
        <v>1</v>
      </c>
      <c r="J16" s="28">
        <v>1</v>
      </c>
      <c r="K16" s="28">
        <v>1</v>
      </c>
      <c r="L16" s="28">
        <v>1</v>
      </c>
      <c r="M16" s="28">
        <v>1</v>
      </c>
      <c r="N16" s="28">
        <v>1</v>
      </c>
      <c r="O16" s="28">
        <v>1</v>
      </c>
      <c r="P16" s="28">
        <v>1</v>
      </c>
      <c r="Q16" s="36">
        <f t="shared" si="0"/>
        <v>12</v>
      </c>
      <c r="R16" s="28">
        <v>0</v>
      </c>
      <c r="S16" s="37">
        <f>R16*$C$3</f>
        <v>0</v>
      </c>
      <c r="T16" s="37">
        <f t="shared" si="1"/>
        <v>24000000</v>
      </c>
      <c r="U16" s="33" t="s">
        <v>87</v>
      </c>
    </row>
    <row r="17" spans="1:21" x14ac:dyDescent="0.25">
      <c r="A17" s="33" t="s">
        <v>10</v>
      </c>
      <c r="B17" s="33" t="s">
        <v>88</v>
      </c>
      <c r="C17" s="34">
        <v>8000000</v>
      </c>
      <c r="D17" s="35">
        <v>5</v>
      </c>
      <c r="E17" s="28">
        <v>0</v>
      </c>
      <c r="F17" s="28">
        <v>1</v>
      </c>
      <c r="G17" s="28">
        <v>1</v>
      </c>
      <c r="H17" s="28">
        <v>1</v>
      </c>
      <c r="I17" s="28">
        <v>1</v>
      </c>
      <c r="J17" s="28">
        <v>1</v>
      </c>
      <c r="K17" s="28">
        <v>1</v>
      </c>
      <c r="L17" s="28">
        <v>1</v>
      </c>
      <c r="M17" s="28">
        <v>1</v>
      </c>
      <c r="N17" s="28">
        <v>1</v>
      </c>
      <c r="O17" s="28">
        <v>1</v>
      </c>
      <c r="P17" s="28">
        <v>1</v>
      </c>
      <c r="Q17" s="36">
        <f t="shared" si="0"/>
        <v>11</v>
      </c>
      <c r="R17" s="28">
        <v>0</v>
      </c>
      <c r="S17" s="37">
        <f>R17*$C$3</f>
        <v>0</v>
      </c>
      <c r="T17" s="37">
        <f t="shared" si="1"/>
        <v>8000000</v>
      </c>
      <c r="U17" s="33" t="s">
        <v>89</v>
      </c>
    </row>
    <row r="18" spans="1:21" x14ac:dyDescent="0.25">
      <c r="A18" s="33" t="s">
        <v>11</v>
      </c>
      <c r="B18" s="33" t="s">
        <v>90</v>
      </c>
      <c r="C18" s="34">
        <v>4000000</v>
      </c>
      <c r="D18" s="35">
        <v>4.2</v>
      </c>
      <c r="E18" s="28">
        <v>0</v>
      </c>
      <c r="F18" s="28">
        <v>0</v>
      </c>
      <c r="G18" s="28">
        <v>1</v>
      </c>
      <c r="H18" s="28">
        <v>1</v>
      </c>
      <c r="I18" s="28">
        <v>1</v>
      </c>
      <c r="J18" s="28">
        <v>1</v>
      </c>
      <c r="K18" s="28">
        <v>1</v>
      </c>
      <c r="L18" s="28">
        <v>1</v>
      </c>
      <c r="M18" s="28">
        <v>1</v>
      </c>
      <c r="N18" s="28">
        <v>1</v>
      </c>
      <c r="O18" s="28">
        <v>1</v>
      </c>
      <c r="P18" s="28">
        <v>1</v>
      </c>
      <c r="Q18" s="36">
        <f t="shared" si="0"/>
        <v>10</v>
      </c>
      <c r="R18" s="28">
        <v>0</v>
      </c>
      <c r="S18" s="37">
        <f>R18*$C$3</f>
        <v>0</v>
      </c>
      <c r="T18" s="37">
        <f t="shared" si="1"/>
        <v>4000000</v>
      </c>
      <c r="U18" s="33" t="s">
        <v>91</v>
      </c>
    </row>
    <row r="19" spans="1:21" x14ac:dyDescent="0.25">
      <c r="A19" s="33" t="s">
        <v>11</v>
      </c>
      <c r="B19" s="33" t="s">
        <v>92</v>
      </c>
      <c r="C19" s="34">
        <v>2000000</v>
      </c>
      <c r="D19" s="35">
        <v>4.5</v>
      </c>
      <c r="E19" s="28">
        <v>0</v>
      </c>
      <c r="F19" s="28">
        <v>0</v>
      </c>
      <c r="G19" s="28">
        <v>0</v>
      </c>
      <c r="H19" s="28">
        <v>1</v>
      </c>
      <c r="I19" s="28">
        <v>1</v>
      </c>
      <c r="J19" s="28">
        <v>1</v>
      </c>
      <c r="K19" s="28">
        <v>1</v>
      </c>
      <c r="L19" s="28">
        <v>0</v>
      </c>
      <c r="M19" s="28">
        <v>0</v>
      </c>
      <c r="N19" s="28">
        <v>0</v>
      </c>
      <c r="O19" s="28">
        <v>0</v>
      </c>
      <c r="P19" s="28">
        <v>0</v>
      </c>
      <c r="Q19" s="36">
        <f t="shared" si="0"/>
        <v>4</v>
      </c>
      <c r="R19" s="28">
        <v>0</v>
      </c>
      <c r="S19" s="37">
        <f>R19*$C$3</f>
        <v>0</v>
      </c>
      <c r="T19" s="37">
        <f t="shared" si="1"/>
        <v>2000000</v>
      </c>
      <c r="U19" s="33" t="s">
        <v>93</v>
      </c>
    </row>
    <row r="20" spans="1:21" x14ac:dyDescent="0.25">
      <c r="A20" s="33" t="s">
        <v>12</v>
      </c>
      <c r="B20" s="33" t="s">
        <v>94</v>
      </c>
      <c r="C20" s="34">
        <v>2500000</v>
      </c>
      <c r="D20" s="35">
        <v>4</v>
      </c>
      <c r="E20" s="28">
        <v>0</v>
      </c>
      <c r="F20" s="28">
        <v>1</v>
      </c>
      <c r="G20" s="28">
        <v>0</v>
      </c>
      <c r="H20" s="28">
        <v>0</v>
      </c>
      <c r="I20" s="28">
        <v>0</v>
      </c>
      <c r="J20" s="28">
        <v>0</v>
      </c>
      <c r="K20" s="28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36">
        <f t="shared" si="0"/>
        <v>1</v>
      </c>
      <c r="R20" s="28">
        <v>1</v>
      </c>
      <c r="S20" s="37">
        <f>R20*$C$3</f>
        <v>1800000</v>
      </c>
      <c r="T20" s="37">
        <f t="shared" si="1"/>
        <v>4300000</v>
      </c>
      <c r="U20" s="33" t="s">
        <v>95</v>
      </c>
    </row>
    <row r="21" spans="1:21" x14ac:dyDescent="0.25">
      <c r="A21" s="33" t="s">
        <v>12</v>
      </c>
      <c r="B21" s="33" t="s">
        <v>96</v>
      </c>
      <c r="C21" s="34">
        <v>3500000</v>
      </c>
      <c r="D21" s="35">
        <v>5</v>
      </c>
      <c r="E21" s="28">
        <v>0</v>
      </c>
      <c r="F21" s="28">
        <v>0</v>
      </c>
      <c r="G21" s="28">
        <v>0</v>
      </c>
      <c r="H21" s="28">
        <v>0</v>
      </c>
      <c r="I21" s="28">
        <v>0</v>
      </c>
      <c r="J21" s="28">
        <v>0</v>
      </c>
      <c r="K21" s="28">
        <v>0</v>
      </c>
      <c r="L21" s="28">
        <v>0</v>
      </c>
      <c r="M21" s="28">
        <v>0</v>
      </c>
      <c r="N21" s="28">
        <v>0</v>
      </c>
      <c r="O21" s="28">
        <v>0</v>
      </c>
      <c r="P21" s="28">
        <v>1</v>
      </c>
      <c r="Q21" s="36">
        <f t="shared" si="0"/>
        <v>1</v>
      </c>
      <c r="R21" s="28">
        <v>1</v>
      </c>
      <c r="S21" s="37">
        <f>R21*$C$3</f>
        <v>1800000</v>
      </c>
      <c r="T21" s="37">
        <f t="shared" si="1"/>
        <v>5300000</v>
      </c>
      <c r="U21" s="33" t="s">
        <v>97</v>
      </c>
    </row>
    <row r="22" spans="1:21" x14ac:dyDescent="0.25">
      <c r="A22" s="33" t="s">
        <v>13</v>
      </c>
      <c r="B22" s="33" t="s">
        <v>98</v>
      </c>
      <c r="C22" s="34">
        <v>2000000</v>
      </c>
      <c r="D22" s="35">
        <v>3</v>
      </c>
      <c r="E22" s="28">
        <v>0</v>
      </c>
      <c r="F22" s="28">
        <v>1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1</v>
      </c>
      <c r="M22" s="28">
        <v>0</v>
      </c>
      <c r="N22" s="28">
        <v>0</v>
      </c>
      <c r="O22" s="28">
        <v>0</v>
      </c>
      <c r="P22" s="28">
        <v>0</v>
      </c>
      <c r="Q22" s="36">
        <f t="shared" si="0"/>
        <v>2</v>
      </c>
      <c r="R22" s="28">
        <v>0</v>
      </c>
      <c r="S22" s="37">
        <f>R22*$C$3</f>
        <v>0</v>
      </c>
      <c r="T22" s="37">
        <f t="shared" si="1"/>
        <v>2000000</v>
      </c>
      <c r="U22" s="33" t="s">
        <v>99</v>
      </c>
    </row>
    <row r="23" spans="1:21" x14ac:dyDescent="0.25">
      <c r="A23" s="13" t="s">
        <v>19</v>
      </c>
      <c r="B23" s="13" t="s">
        <v>100</v>
      </c>
      <c r="C23" s="14">
        <f>SUM(C12:C22)</f>
        <v>61800000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25">
        <f>SUM(R12:R22)</f>
        <v>4</v>
      </c>
      <c r="S23" s="14">
        <f>SUM(S12:S22)</f>
        <v>7200000</v>
      </c>
      <c r="T23" s="14">
        <f>SUM(T12:T22)</f>
        <v>69000000</v>
      </c>
      <c r="U23" s="13"/>
    </row>
    <row r="25" spans="1:21" x14ac:dyDescent="0.25">
      <c r="A25" s="18"/>
    </row>
    <row r="26" spans="1:21" x14ac:dyDescent="0.25">
      <c r="A26" s="18"/>
    </row>
  </sheetData>
  <pageMargins left="0.75" right="0.75" top="1" bottom="1" header="0.511811023622047" footer="0.511811023622047"/>
  <pageSetup paperSize="8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 Ejecutivo</vt:lpstr>
      <vt:lpstr>Reporte Costo-Beneficio</vt:lpstr>
      <vt:lpstr>Supuestos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Alejandra Caica</cp:lastModifiedBy>
  <cp:revision>1</cp:revision>
  <dcterms:created xsi:type="dcterms:W3CDTF">2026-09-24T01:18:09Z</dcterms:created>
  <dcterms:modified xsi:type="dcterms:W3CDTF">2026-09-24T02:17:13Z</dcterms:modified>
  <dc:language>en-US</dc:language>
</cp:coreProperties>
</file>