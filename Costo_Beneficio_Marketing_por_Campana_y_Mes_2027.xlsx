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eporte Costo-Beneficio" sheetId="2" state="visible" r:id="rId2"/>
    <sheet xmlns:r="http://schemas.openxmlformats.org/officeDocument/2006/relationships" name="Supuesto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0.0%;\-0.0%;\-"/>
    <numFmt numFmtId="166" formatCode="0.00\x;\-0.00\x;\-"/>
    <numFmt numFmtId="167" formatCode="0.0\x"/>
  </numFmts>
  <fonts count="12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008000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</font>
    <font>
      <name val="Arial"/>
      <family val="2"/>
      <color theme="5" tint="-0.249977111117893"/>
      <sz val="10"/>
    </font>
    <font>
      <name val="Calibri"/>
      <charset val="1"/>
      <family val="2"/>
      <sz val="11"/>
    </font>
    <font>
      <name val="Arial"/>
      <family val="2"/>
      <b val="1"/>
      <color rgb="FF4F6228"/>
      <sz val="10"/>
    </font>
  </fonts>
  <fills count="8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4B183"/>
        <bgColor rgb="FFFF99CC"/>
      </patternFill>
    </fill>
    <fill>
      <patternFill patternType="solid">
        <fgColor rgb="FF4F6228"/>
        <bgColor rgb="FF333333"/>
      </patternFill>
    </fill>
    <fill>
      <patternFill patternType="solid">
        <fgColor theme="6" tint="0.3999755851924192"/>
        <bgColor rgb="FF9999FF"/>
      </patternFill>
    </fill>
    <fill>
      <patternFill patternType="solid">
        <fgColor rgb="FFFFFF99"/>
        <bgColor rgb="FFFFFF00"/>
      </patternFill>
    </fill>
    <fill>
      <patternFill patternType="solid">
        <fgColor rgb="FF4F6228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166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8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9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10" fillId="0" borderId="1" pivotButton="0" quotePrefix="0" xfId="0"/>
    <xf numFmtId="164" fontId="1" fillId="0" borderId="1" pivotButton="0" quotePrefix="0" xfId="0"/>
    <xf numFmtId="167" fontId="1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164" fontId="10" fillId="0" borderId="1" pivotButton="0" quotePrefix="0" xfId="0"/>
    <xf numFmtId="2" fontId="1" fillId="0" borderId="0" applyAlignment="1" pivotButton="0" quotePrefix="0" xfId="0">
      <alignment horizontal="center" vertical="center" wrapText="1"/>
    </xf>
    <xf numFmtId="164" fontId="1" fillId="6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0" borderId="0" pivotButton="0" quotePrefix="0" xfId="0"/>
    <xf numFmtId="165" fontId="10" fillId="0" borderId="1" pivotButton="0" quotePrefix="0" xfId="0"/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F81BD"/>
      <rgbColor rgb="FF8EA9C1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Costo vs. ingreso por mes (COP)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'Resumen Ejecutivo'!$B$28</f>
              <strCache>
                <ptCount val="1"/>
                <pt idx="0">
                  <v>Costo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MX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'Resumen Ejecutivo'!$A$29:$A$40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'Resumen Ejecutivo'!$B$29:$B$40</f>
              <numCache>
                <formatCode>\$#,##0;"($"#,##0\);\-</formatCode>
                <ptCount val="12"/>
                <pt idx="0">
                  <v>8850000</v>
                </pt>
                <pt idx="1">
                  <v>10077272.72727273</v>
                </pt>
                <pt idx="2">
                  <v>4177272.727272728</v>
                </pt>
                <pt idx="3">
                  <v>4677272.727272728</v>
                </pt>
                <pt idx="4">
                  <v>4677272.727272728</v>
                </pt>
                <pt idx="5">
                  <v>4677272.727272728</v>
                </pt>
                <pt idx="6">
                  <v>4677272.727272728</v>
                </pt>
                <pt idx="7">
                  <v>5177272.727272728</v>
                </pt>
                <pt idx="8">
                  <v>4177272.727272728</v>
                </pt>
                <pt idx="9">
                  <v>4177272.727272728</v>
                </pt>
                <pt idx="10">
                  <v>4177272.727272728</v>
                </pt>
                <pt idx="11">
                  <v>9477272.727272727</v>
                </pt>
              </numCache>
            </numRef>
          </val>
        </ser>
        <ser>
          <idx val="1"/>
          <order val="1"/>
          <tx>
            <strRef>
              <f>'Resumen Ejecutivo'!$C$28</f>
              <strCache>
                <ptCount val="1"/>
                <pt idx="0">
                  <v>Ingreso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MX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'Resumen Ejecutivo'!$A$29:$A$40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'Resumen Ejecutivo'!$C$29:$C$40</f>
              <numCache>
                <formatCode>\$#,##0;"($"#,##0\);\-</formatCode>
                <ptCount val="12"/>
                <pt idx="0">
                  <v>27720000</v>
                </pt>
                <pt idx="1">
                  <v>35346818.18181818</v>
                </pt>
                <pt idx="2">
                  <v>14324727.27272727</v>
                </pt>
                <pt idx="3">
                  <v>15441409.09090909</v>
                </pt>
                <pt idx="4">
                  <v>19074681.81818182</v>
                </pt>
                <pt idx="5">
                  <v>17258045.45454545</v>
                </pt>
                <pt idx="6">
                  <v>18166363.63636364</v>
                </pt>
                <pt idx="7">
                  <v>19862181.81818182</v>
                </pt>
                <pt idx="8">
                  <v>17508000</v>
                </pt>
                <pt idx="9">
                  <v>17508000</v>
                </pt>
                <pt idx="10">
                  <v>18303818.18181818</v>
                </pt>
                <pt idx="11">
                  <v>43441272.72727273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1660273"/>
        <axId val="80703879"/>
      </barChart>
      <catAx>
        <axId val="4166027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MX"/>
          </a:p>
        </txPr>
        <crossAx val="80703879"/>
        <crosses val="autoZero"/>
        <auto val="1"/>
        <lblAlgn val="ctr"/>
        <lblOffset val="100"/>
        <noMultiLvlLbl val="0"/>
      </catAx>
      <valAx>
        <axId val="8070387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MX"/>
          </a:p>
        </txPr>
        <crossAx val="4166027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MX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ROI por campaña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'Resumen Ejecutivo'!$F$13</f>
              <strCache>
                <ptCount val="1"/>
                <pt idx="0">
                  <v>ROI (%)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MX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'Resumen Ejecutivo'!$B$14:$B$24</f>
              <strCache>
                <ptCount val="11"/>
                <pt idx="0">
                  <v>Prensa y Redes (Teaser + PR + Promo apertura)</v>
                </pt>
                <pt idx="1">
                  <v>Volantes, degustaciones y garantía de satisfacción</v>
                </pt>
                <pt idx="2">
                  <v>Contenido orgánico IG/TikTok/Facebook</v>
                </pt>
                <pt idx="3">
                  <v>Google Business Profile (SEO local)</v>
                </pt>
                <pt idx="4">
                  <v>Meta Ads pagado (geo-segmentado)</v>
                </pt>
                <pt idx="5">
                  <v>QR en empaques/recibos + referidos</v>
                </pt>
                <pt idx="6">
                  <v>Almuerzos corporativos (pedidos por WhatsApp)</v>
                </pt>
                <pt idx="7">
                  <v>Refiere y gana (papas gratis)</v>
                </pt>
                <pt idx="8">
                  <v>San Valentín (Comparte un Döner)</v>
                </pt>
                <pt idx="9">
                  <v>Navidad y fin de año (Party Pack)</v>
                </pt>
                <pt idx="10">
                  <v>Semana de bienvenida universitaria</v>
                </pt>
              </strCache>
            </strRef>
          </cat>
          <val>
            <numRef>
              <f>'Resumen Ejecutivo'!$F$14:$F$24</f>
              <numCache>
                <formatCode>0.0%;\-0.0%;\-</formatCode>
                <ptCount val="11"/>
                <pt idx="0">
                  <v>1.25</v>
                </pt>
                <pt idx="1">
                  <v>3.1125</v>
                </pt>
                <pt idx="2">
                  <v>1.245614035087719</v>
                </pt>
                <pt idx="3">
                  <v>5.4</v>
                </pt>
                <pt idx="4">
                  <v>3.266666666666667</v>
                </pt>
                <pt idx="5">
                  <v>4.272727272727272</v>
                </pt>
                <pt idx="6">
                  <v>3.389</v>
                </pt>
                <pt idx="7">
                  <v>3.33125</v>
                </pt>
                <pt idx="8">
                  <v>1.674418604651163</v>
                </pt>
                <pt idx="9">
                  <v>3.292452830188679</v>
                </pt>
                <pt idx="10">
                  <v>2.3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5133746"/>
        <axId val="90736070"/>
      </barChart>
      <catAx>
        <axId val="25133746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MX"/>
          </a:p>
        </txPr>
        <crossAx val="90736070"/>
        <crosses val="autoZero"/>
        <auto val="1"/>
        <lblAlgn val="ctr"/>
        <lblOffset val="100"/>
        <noMultiLvlLbl val="0"/>
      </catAx>
      <valAx>
        <axId val="90736070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\-0.0%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MX"/>
          </a:p>
        </txPr>
        <crossAx val="2513374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10</col>
      <colOff>0</colOff>
      <row>25</row>
      <rowOff>175680</rowOff>
    </from>
    <to>
      <col>20</col>
      <colOff>4320</colOff>
      <row>40</row>
      <rowOff>85680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0</colOff>
      <row>10</row>
      <rowOff>176040</rowOff>
    </from>
    <to>
      <col>20</col>
      <colOff>4320</colOff>
      <row>27</row>
      <rowOff>177120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topLeftCell="A37" zoomScaleNormal="100" workbookViewId="0">
      <selection activeCell="A43" sqref="A43"/>
    </sheetView>
  </sheetViews>
  <sheetFormatPr baseColWidth="10" defaultColWidth="8.7109375" defaultRowHeight="15"/>
  <cols>
    <col width="30" customWidth="1" style="42" min="1" max="1"/>
    <col width="46" customWidth="1" style="42" min="2" max="2"/>
    <col width="15" customWidth="1" style="42" min="3" max="8"/>
    <col width="18" customWidth="1" style="42" min="9" max="9"/>
  </cols>
  <sheetData>
    <row r="1" ht="16.5" customHeight="1" s="42">
      <c r="A1" s="31" t="inlineStr">
        <is>
          <t>RESUMEN EJECUTIVO — COSTO / BENEFICIO DE MARKETING 2027 (PLAN AJUSTADO)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</row>
    <row r="3">
      <c r="A3" s="44" t="inlineStr">
        <is>
          <t>1. Por área</t>
        </is>
      </c>
    </row>
    <row r="4">
      <c r="A4" s="30" t="inlineStr">
        <is>
          <t>Área</t>
        </is>
      </c>
      <c r="B4" s="30" t="inlineStr">
        <is>
          <t>Costo anual</t>
        </is>
      </c>
      <c r="C4" s="30" t="inlineStr">
        <is>
          <t>Ingreso anual</t>
        </is>
      </c>
      <c r="D4" s="30" t="inlineStr">
        <is>
          <t>Beneficio neto</t>
        </is>
      </c>
      <c r="E4" s="30" t="inlineStr">
        <is>
          <t>ROI (%)</t>
        </is>
      </c>
      <c r="F4" s="30" t="inlineStr">
        <is>
          <t>ROI (x)</t>
        </is>
      </c>
      <c r="G4" s="30" t="inlineStr">
        <is>
          <t>N.º campañas</t>
        </is>
      </c>
    </row>
    <row r="5">
      <c r="A5" s="2" t="inlineStr">
        <is>
          <t>LANZAMIENTO</t>
        </is>
      </c>
      <c r="B5" s="26">
        <f>'Reporte Costo-Beneficio'!AY6</f>
        <v/>
      </c>
      <c r="C5" s="3">
        <f>'Reporte Costo-Beneficio'!AZ6</f>
        <v/>
      </c>
      <c r="D5" s="4">
        <f>C5-B5</f>
        <v/>
      </c>
      <c r="E5" s="5">
        <f>IF(B5=0,0,D5/B5)</f>
        <v/>
      </c>
      <c r="F5" s="6">
        <f>IF(B5=0,0,C5/B5)</f>
        <v/>
      </c>
      <c r="G5" s="7">
        <f>COUNTIF(Supuestos!$A$12:$A$22,A5)</f>
        <v/>
      </c>
    </row>
    <row r="6">
      <c r="A6" s="2" t="inlineStr">
        <is>
          <t>PUBLICIDAD DIGITAL</t>
        </is>
      </c>
      <c r="B6" s="26">
        <f>'Reporte Costo-Beneficio'!AY9</f>
        <v/>
      </c>
      <c r="C6" s="3">
        <f>'Reporte Costo-Beneficio'!AZ9</f>
        <v/>
      </c>
      <c r="D6" s="4">
        <f>C6-B6</f>
        <v/>
      </c>
      <c r="E6" s="5">
        <f>IF(B6=0,0,D6/B6)</f>
        <v/>
      </c>
      <c r="F6" s="6">
        <f>IF(B6=0,0,C6/B6)</f>
        <v/>
      </c>
      <c r="G6" s="7">
        <f>COUNTIF(Supuestos!$A$12:$A$22,A6)</f>
        <v/>
      </c>
    </row>
    <row r="7">
      <c r="A7" s="2" t="inlineStr">
        <is>
          <t>DELIVERY Y FIDELIZACIÓN</t>
        </is>
      </c>
      <c r="B7" s="26">
        <f>'Reporte Costo-Beneficio'!AY14</f>
        <v/>
      </c>
      <c r="C7" s="3">
        <f>'Reporte Costo-Beneficio'!AZ14</f>
        <v/>
      </c>
      <c r="D7" s="4">
        <f>C7-B7</f>
        <v/>
      </c>
      <c r="E7" s="5">
        <f>IF(B7=0,0,D7/B7)</f>
        <v/>
      </c>
      <c r="F7" s="6">
        <f>IF(B7=0,0,C7/B7)</f>
        <v/>
      </c>
      <c r="G7" s="7">
        <f>COUNTIF(Supuestos!$A$12:$A$22,A7)</f>
        <v/>
      </c>
    </row>
    <row r="8">
      <c r="A8" s="2" t="inlineStr">
        <is>
          <t>FECHAS ESPECIALES</t>
        </is>
      </c>
      <c r="B8" s="26">
        <f>'Reporte Costo-Beneficio'!AY17</f>
        <v/>
      </c>
      <c r="C8" s="3">
        <f>'Reporte Costo-Beneficio'!AZ17</f>
        <v/>
      </c>
      <c r="D8" s="4">
        <f>C8-B8</f>
        <v/>
      </c>
      <c r="E8" s="5">
        <f>IF(B8=0,0,D8/B8)</f>
        <v/>
      </c>
      <c r="F8" s="6">
        <f>IF(B8=0,0,C8/B8)</f>
        <v/>
      </c>
      <c r="G8" s="7">
        <f>COUNTIF(Supuestos!$A$12:$A$22,A8)</f>
        <v/>
      </c>
    </row>
    <row r="9">
      <c r="A9" s="2" t="inlineStr">
        <is>
          <t>COMUNIDAD Y ALIANZAS</t>
        </is>
      </c>
      <c r="B9" s="26">
        <f>'Reporte Costo-Beneficio'!AY20</f>
        <v/>
      </c>
      <c r="C9" s="3">
        <f>'Reporte Costo-Beneficio'!AZ20</f>
        <v/>
      </c>
      <c r="D9" s="4">
        <f>C9-B9</f>
        <v/>
      </c>
      <c r="E9" s="5">
        <f>IF(B9=0,0,D9/B9)</f>
        <v/>
      </c>
      <c r="F9" s="6">
        <f>IF(B9=0,0,C9/B9)</f>
        <v/>
      </c>
      <c r="G9" s="7">
        <f>COUNTIF(Supuestos!$A$12:$A$22,A9)</f>
        <v/>
      </c>
    </row>
    <row r="10">
      <c r="A10" s="8" t="inlineStr">
        <is>
          <t>TOTAL GENERAL</t>
        </is>
      </c>
      <c r="B10" s="9">
        <f>SUM(B5:B9)</f>
        <v/>
      </c>
      <c r="C10" s="9">
        <f>SUM(C5:C9)</f>
        <v/>
      </c>
      <c r="D10" s="9">
        <f>SUM(D5:D9)</f>
        <v/>
      </c>
      <c r="E10" s="10">
        <f>D10/B10</f>
        <v/>
      </c>
      <c r="F10" s="11">
        <f>C10/B10</f>
        <v/>
      </c>
      <c r="G10" s="12">
        <f>SUM(G5:G9)</f>
        <v/>
      </c>
    </row>
    <row r="12">
      <c r="A12" s="44" t="inlineStr">
        <is>
          <t>2. Por campaña (anual)</t>
        </is>
      </c>
    </row>
    <row r="13">
      <c r="A13" s="30" t="inlineStr">
        <is>
          <t>Área</t>
        </is>
      </c>
      <c r="B13" s="30" t="inlineStr">
        <is>
          <t>Campaña</t>
        </is>
      </c>
      <c r="C13" s="30" t="inlineStr">
        <is>
          <t>Costo anual</t>
        </is>
      </c>
      <c r="D13" s="30" t="inlineStr">
        <is>
          <t>Ingreso anual</t>
        </is>
      </c>
      <c r="E13" s="30" t="inlineStr">
        <is>
          <t>Beneficio neto</t>
        </is>
      </c>
      <c r="F13" s="30" t="inlineStr">
        <is>
          <t>ROI (%)</t>
        </is>
      </c>
      <c r="G13" s="30" t="inlineStr">
        <is>
          <t>ROI (x)</t>
        </is>
      </c>
      <c r="H13" s="30" t="inlineStr">
        <is>
          <t>Meses activos</t>
        </is>
      </c>
      <c r="I13" s="30" t="inlineStr">
        <is>
          <t>Fechas</t>
        </is>
      </c>
    </row>
    <row r="14">
      <c r="A14" s="27">
        <f>Supuestos!A12</f>
        <v/>
      </c>
      <c r="B14" s="27">
        <f>Supuestos!B12</f>
        <v/>
      </c>
      <c r="C14" s="26">
        <f>'Reporte Costo-Beneficio'!AY7</f>
        <v/>
      </c>
      <c r="D14" s="3">
        <f>'Reporte Costo-Beneficio'!AZ7</f>
        <v/>
      </c>
      <c r="E14" s="4">
        <f>D14-C14</f>
        <v/>
      </c>
      <c r="F14" s="5">
        <f>IF(C14=0,0,E14/C14)</f>
        <v/>
      </c>
      <c r="G14" s="6">
        <f>IF(C14=0,0,D14/C14)</f>
        <v/>
      </c>
      <c r="H14" s="28">
        <f>Supuestos!Q12</f>
        <v/>
      </c>
      <c r="I14" s="27">
        <f>Supuestos!U12</f>
        <v/>
      </c>
    </row>
    <row r="15">
      <c r="A15" s="27">
        <f>Supuestos!A13</f>
        <v/>
      </c>
      <c r="B15" s="27">
        <f>Supuestos!B13</f>
        <v/>
      </c>
      <c r="C15" s="26">
        <f>'Reporte Costo-Beneficio'!AY8</f>
        <v/>
      </c>
      <c r="D15" s="3">
        <f>'Reporte Costo-Beneficio'!AZ8</f>
        <v/>
      </c>
      <c r="E15" s="4">
        <f>D15-C15</f>
        <v/>
      </c>
      <c r="F15" s="5">
        <f>IF(C15=0,0,E15/C15)</f>
        <v/>
      </c>
      <c r="G15" s="6">
        <f>IF(C15=0,0,D15/C15)</f>
        <v/>
      </c>
      <c r="H15" s="28">
        <f>Supuestos!Q13</f>
        <v/>
      </c>
      <c r="I15" s="27">
        <f>Supuestos!U13</f>
        <v/>
      </c>
    </row>
    <row r="16">
      <c r="A16" s="27">
        <f>Supuestos!A14</f>
        <v/>
      </c>
      <c r="B16" s="27">
        <f>Supuestos!B14</f>
        <v/>
      </c>
      <c r="C16" s="26">
        <f>'Reporte Costo-Beneficio'!AY10</f>
        <v/>
      </c>
      <c r="D16" s="3">
        <f>'Reporte Costo-Beneficio'!AZ10</f>
        <v/>
      </c>
      <c r="E16" s="4">
        <f>D16-C16</f>
        <v/>
      </c>
      <c r="F16" s="5">
        <f>IF(C16=0,0,E16/C16)</f>
        <v/>
      </c>
      <c r="G16" s="6">
        <f>IF(C16=0,0,D16/C16)</f>
        <v/>
      </c>
      <c r="H16" s="28">
        <f>Supuestos!Q14</f>
        <v/>
      </c>
      <c r="I16" s="27">
        <f>Supuestos!U14</f>
        <v/>
      </c>
    </row>
    <row r="17">
      <c r="A17" s="27">
        <f>Supuestos!A15</f>
        <v/>
      </c>
      <c r="B17" s="27">
        <f>Supuestos!B15</f>
        <v/>
      </c>
      <c r="C17" s="26">
        <f>'Reporte Costo-Beneficio'!AY11</f>
        <v/>
      </c>
      <c r="D17" s="3">
        <f>'Reporte Costo-Beneficio'!AZ11</f>
        <v/>
      </c>
      <c r="E17" s="4">
        <f>D17-C17</f>
        <v/>
      </c>
      <c r="F17" s="5">
        <f>IF(C17=0,0,E17/C17)</f>
        <v/>
      </c>
      <c r="G17" s="6">
        <f>IF(C17=0,0,D17/C17)</f>
        <v/>
      </c>
      <c r="H17" s="28">
        <f>Supuestos!Q15</f>
        <v/>
      </c>
      <c r="I17" s="27">
        <f>Supuestos!U15</f>
        <v/>
      </c>
    </row>
    <row r="18">
      <c r="A18" s="27">
        <f>Supuestos!A16</f>
        <v/>
      </c>
      <c r="B18" s="27">
        <f>Supuestos!B16</f>
        <v/>
      </c>
      <c r="C18" s="26">
        <f>'Reporte Costo-Beneficio'!AY12</f>
        <v/>
      </c>
      <c r="D18" s="3">
        <f>'Reporte Costo-Beneficio'!AZ12</f>
        <v/>
      </c>
      <c r="E18" s="4">
        <f>D18-C18</f>
        <v/>
      </c>
      <c r="F18" s="5">
        <f>IF(C18=0,0,E18/C18)</f>
        <v/>
      </c>
      <c r="G18" s="6">
        <f>IF(C18=0,0,D18/C18)</f>
        <v/>
      </c>
      <c r="H18" s="28">
        <f>Supuestos!Q16</f>
        <v/>
      </c>
      <c r="I18" s="27">
        <f>Supuestos!U16</f>
        <v/>
      </c>
    </row>
    <row r="19">
      <c r="A19" s="27">
        <f>Supuestos!A17</f>
        <v/>
      </c>
      <c r="B19" s="27">
        <f>Supuestos!B17</f>
        <v/>
      </c>
      <c r="C19" s="26">
        <f>'Reporte Costo-Beneficio'!AY13</f>
        <v/>
      </c>
      <c r="D19" s="3">
        <f>'Reporte Costo-Beneficio'!AZ13</f>
        <v/>
      </c>
      <c r="E19" s="4">
        <f>D19-C19</f>
        <v/>
      </c>
      <c r="F19" s="5">
        <f>IF(C19=0,0,E19/C19)</f>
        <v/>
      </c>
      <c r="G19" s="6">
        <f>IF(C19=0,0,D19/C19)</f>
        <v/>
      </c>
      <c r="H19" s="28">
        <f>Supuestos!Q17</f>
        <v/>
      </c>
      <c r="I19" s="27">
        <f>Supuestos!U17</f>
        <v/>
      </c>
    </row>
    <row r="20">
      <c r="A20" s="27">
        <f>Supuestos!A18</f>
        <v/>
      </c>
      <c r="B20" s="27">
        <f>Supuestos!B18</f>
        <v/>
      </c>
      <c r="C20" s="26">
        <f>'Reporte Costo-Beneficio'!AY15</f>
        <v/>
      </c>
      <c r="D20" s="3">
        <f>'Reporte Costo-Beneficio'!AZ15</f>
        <v/>
      </c>
      <c r="E20" s="4">
        <f>D20-C20</f>
        <v/>
      </c>
      <c r="F20" s="5">
        <f>IF(C20=0,0,E20/C20)</f>
        <v/>
      </c>
      <c r="G20" s="6">
        <f>IF(C20=0,0,D20/C20)</f>
        <v/>
      </c>
      <c r="H20" s="28">
        <f>Supuestos!Q18</f>
        <v/>
      </c>
      <c r="I20" s="27">
        <f>Supuestos!U18</f>
        <v/>
      </c>
    </row>
    <row r="21">
      <c r="A21" s="27">
        <f>Supuestos!A19</f>
        <v/>
      </c>
      <c r="B21" s="27">
        <f>Supuestos!B19</f>
        <v/>
      </c>
      <c r="C21" s="26">
        <f>'Reporte Costo-Beneficio'!AY16</f>
        <v/>
      </c>
      <c r="D21" s="3">
        <f>'Reporte Costo-Beneficio'!AZ16</f>
        <v/>
      </c>
      <c r="E21" s="4">
        <f>D21-C21</f>
        <v/>
      </c>
      <c r="F21" s="5">
        <f>IF(C21=0,0,E21/C21)</f>
        <v/>
      </c>
      <c r="G21" s="6">
        <f>IF(C21=0,0,D21/C21)</f>
        <v/>
      </c>
      <c r="H21" s="28">
        <f>Supuestos!Q19</f>
        <v/>
      </c>
      <c r="I21" s="27">
        <f>Supuestos!U19</f>
        <v/>
      </c>
    </row>
    <row r="22">
      <c r="A22" s="27">
        <f>Supuestos!A20</f>
        <v/>
      </c>
      <c r="B22" s="27">
        <f>Supuestos!B20</f>
        <v/>
      </c>
      <c r="C22" s="26">
        <f>'Reporte Costo-Beneficio'!AY18</f>
        <v/>
      </c>
      <c r="D22" s="3">
        <f>'Reporte Costo-Beneficio'!AZ18</f>
        <v/>
      </c>
      <c r="E22" s="4">
        <f>D22-C22</f>
        <v/>
      </c>
      <c r="F22" s="5">
        <f>IF(C22=0,0,E22/C22)</f>
        <v/>
      </c>
      <c r="G22" s="6">
        <f>IF(C22=0,0,D22/C22)</f>
        <v/>
      </c>
      <c r="H22" s="28">
        <f>Supuestos!Q20</f>
        <v/>
      </c>
      <c r="I22" s="27">
        <f>Supuestos!U20</f>
        <v/>
      </c>
    </row>
    <row r="23">
      <c r="A23" s="27">
        <f>Supuestos!A21</f>
        <v/>
      </c>
      <c r="B23" s="27">
        <f>Supuestos!B21</f>
        <v/>
      </c>
      <c r="C23" s="26">
        <f>'Reporte Costo-Beneficio'!AY19</f>
        <v/>
      </c>
      <c r="D23" s="3">
        <f>'Reporte Costo-Beneficio'!AZ19</f>
        <v/>
      </c>
      <c r="E23" s="4">
        <f>D23-C23</f>
        <v/>
      </c>
      <c r="F23" s="5">
        <f>IF(C23=0,0,E23/C23)</f>
        <v/>
      </c>
      <c r="G23" s="6">
        <f>IF(C23=0,0,D23/C23)</f>
        <v/>
      </c>
      <c r="H23" s="28">
        <f>Supuestos!Q21</f>
        <v/>
      </c>
      <c r="I23" s="27">
        <f>Supuestos!U21</f>
        <v/>
      </c>
    </row>
    <row r="24">
      <c r="A24" s="27">
        <f>Supuestos!A22</f>
        <v/>
      </c>
      <c r="B24" s="27">
        <f>Supuestos!B22</f>
        <v/>
      </c>
      <c r="C24" s="26">
        <f>'Reporte Costo-Beneficio'!AY21</f>
        <v/>
      </c>
      <c r="D24" s="3">
        <f>'Reporte Costo-Beneficio'!AZ21</f>
        <v/>
      </c>
      <c r="E24" s="4">
        <f>D24-C24</f>
        <v/>
      </c>
      <c r="F24" s="5">
        <f>IF(C24=0,0,E24/C24)</f>
        <v/>
      </c>
      <c r="G24" s="6">
        <f>IF(C24=0,0,D24/C24)</f>
        <v/>
      </c>
      <c r="H24" s="28">
        <f>Supuestos!Q22</f>
        <v/>
      </c>
      <c r="I24" s="27">
        <f>Supuestos!U22</f>
        <v/>
      </c>
    </row>
    <row r="25">
      <c r="A25" s="13" t="inlineStr">
        <is>
          <t>TOTAL</t>
        </is>
      </c>
      <c r="B25" s="13" t="n"/>
      <c r="C25" s="14">
        <f>SUM(C14:C24)</f>
        <v/>
      </c>
      <c r="D25" s="14">
        <f>SUM(D14:D24)</f>
        <v/>
      </c>
      <c r="E25" s="14">
        <f>SUM(E14:E24)</f>
        <v/>
      </c>
      <c r="F25" s="15">
        <f>E25/C25</f>
        <v/>
      </c>
      <c r="G25" s="16">
        <f>D25/C25</f>
        <v/>
      </c>
      <c r="H25" s="13" t="n"/>
      <c r="I25" s="13" t="n"/>
    </row>
    <row r="27">
      <c r="A27" s="44" t="inlineStr">
        <is>
          <t>3. Por mes</t>
        </is>
      </c>
    </row>
    <row r="28" ht="25.5" customHeight="1" s="42">
      <c r="A28" s="30" t="inlineStr">
        <is>
          <t>Mes</t>
        </is>
      </c>
      <c r="B28" s="30" t="inlineStr">
        <is>
          <t>Costo</t>
        </is>
      </c>
      <c r="C28" s="30" t="inlineStr">
        <is>
          <t>Ingreso</t>
        </is>
      </c>
      <c r="D28" s="30" t="inlineStr">
        <is>
          <t>Beneficio neto</t>
        </is>
      </c>
      <c r="E28" s="30" t="inlineStr">
        <is>
          <t>ROI (%)</t>
        </is>
      </c>
      <c r="F28" s="30" t="inlineStr">
        <is>
          <t>N.º campañas activas</t>
        </is>
      </c>
    </row>
    <row r="29">
      <c r="A29" s="2" t="inlineStr">
        <is>
          <t>Enero</t>
        </is>
      </c>
      <c r="B29" s="26">
        <f>'Reporte Costo-Beneficio'!C23</f>
        <v/>
      </c>
      <c r="C29" s="3">
        <f>'Reporte Costo-Beneficio'!D24</f>
        <v/>
      </c>
      <c r="D29" s="4">
        <f>C29-B29</f>
        <v/>
      </c>
      <c r="E29" s="5">
        <f>IF(B29=0,0,D29/B29)</f>
        <v/>
      </c>
      <c r="F29" s="7">
        <f>SUM(Supuestos!E12:E22)</f>
        <v/>
      </c>
    </row>
    <row r="30">
      <c r="A30" s="2" t="inlineStr">
        <is>
          <t>Febrero</t>
        </is>
      </c>
      <c r="B30" s="26">
        <f>'Reporte Costo-Beneficio'!G23</f>
        <v/>
      </c>
      <c r="C30" s="3">
        <f>'Reporte Costo-Beneficio'!H24</f>
        <v/>
      </c>
      <c r="D30" s="4">
        <f>C30-B30</f>
        <v/>
      </c>
      <c r="E30" s="5">
        <f>IF(B30=0,0,D30/B30)</f>
        <v/>
      </c>
      <c r="F30" s="7">
        <f>SUM(Supuestos!F12:F22)</f>
        <v/>
      </c>
    </row>
    <row r="31">
      <c r="A31" s="2" t="inlineStr">
        <is>
          <t>Marzo</t>
        </is>
      </c>
      <c r="B31" s="26">
        <f>'Reporte Costo-Beneficio'!K23</f>
        <v/>
      </c>
      <c r="C31" s="3">
        <f>'Reporte Costo-Beneficio'!L24</f>
        <v/>
      </c>
      <c r="D31" s="4">
        <f>C31-B31</f>
        <v/>
      </c>
      <c r="E31" s="5">
        <f>IF(B31=0,0,D31/B31)</f>
        <v/>
      </c>
      <c r="F31" s="7">
        <f>SUM(Supuestos!G12:G22)</f>
        <v/>
      </c>
    </row>
    <row r="32">
      <c r="A32" s="2" t="inlineStr">
        <is>
          <t>Abril</t>
        </is>
      </c>
      <c r="B32" s="26">
        <f>'Reporte Costo-Beneficio'!O23</f>
        <v/>
      </c>
      <c r="C32" s="3">
        <f>'Reporte Costo-Beneficio'!P24</f>
        <v/>
      </c>
      <c r="D32" s="4">
        <f>C32-B32</f>
        <v/>
      </c>
      <c r="E32" s="5">
        <f>IF(B32=0,0,D32/B32)</f>
        <v/>
      </c>
      <c r="F32" s="7">
        <f>SUM(Supuestos!H12:H22)</f>
        <v/>
      </c>
    </row>
    <row r="33">
      <c r="A33" s="2" t="inlineStr">
        <is>
          <t>Mayo</t>
        </is>
      </c>
      <c r="B33" s="26">
        <f>'Reporte Costo-Beneficio'!S23</f>
        <v/>
      </c>
      <c r="C33" s="3">
        <f>'Reporte Costo-Beneficio'!T24</f>
        <v/>
      </c>
      <c r="D33" s="4">
        <f>C33-B33</f>
        <v/>
      </c>
      <c r="E33" s="5">
        <f>IF(B33=0,0,D33/B33)</f>
        <v/>
      </c>
      <c r="F33" s="7">
        <f>SUM(Supuestos!I12:I22)</f>
        <v/>
      </c>
    </row>
    <row r="34">
      <c r="A34" s="2" t="inlineStr">
        <is>
          <t>Junio</t>
        </is>
      </c>
      <c r="B34" s="26">
        <f>'Reporte Costo-Beneficio'!W23</f>
        <v/>
      </c>
      <c r="C34" s="3">
        <f>'Reporte Costo-Beneficio'!X24</f>
        <v/>
      </c>
      <c r="D34" s="4">
        <f>C34-B34</f>
        <v/>
      </c>
      <c r="E34" s="5">
        <f>IF(B34=0,0,D34/B34)</f>
        <v/>
      </c>
      <c r="F34" s="7">
        <f>SUM(Supuestos!J12:J22)</f>
        <v/>
      </c>
    </row>
    <row r="35">
      <c r="A35" s="2" t="inlineStr">
        <is>
          <t>Julio</t>
        </is>
      </c>
      <c r="B35" s="26">
        <f>'Reporte Costo-Beneficio'!AA23</f>
        <v/>
      </c>
      <c r="C35" s="3">
        <f>'Reporte Costo-Beneficio'!AB24</f>
        <v/>
      </c>
      <c r="D35" s="4">
        <f>C35-B35</f>
        <v/>
      </c>
      <c r="E35" s="5">
        <f>IF(B35=0,0,D35/B35)</f>
        <v/>
      </c>
      <c r="F35" s="7">
        <f>SUM(Supuestos!K12:K22)</f>
        <v/>
      </c>
    </row>
    <row r="36">
      <c r="A36" s="2" t="inlineStr">
        <is>
          <t>Agosto</t>
        </is>
      </c>
      <c r="B36" s="26">
        <f>'Reporte Costo-Beneficio'!AE23</f>
        <v/>
      </c>
      <c r="C36" s="3">
        <f>'Reporte Costo-Beneficio'!AF24</f>
        <v/>
      </c>
      <c r="D36" s="4">
        <f>C36-B36</f>
        <v/>
      </c>
      <c r="E36" s="5">
        <f>IF(B36=0,0,D36/B36)</f>
        <v/>
      </c>
      <c r="F36" s="7">
        <f>SUM(Supuestos!L12:L22)</f>
        <v/>
      </c>
    </row>
    <row r="37">
      <c r="A37" s="2" t="inlineStr">
        <is>
          <t>Septiembre</t>
        </is>
      </c>
      <c r="B37" s="26">
        <f>'Reporte Costo-Beneficio'!AI23</f>
        <v/>
      </c>
      <c r="C37" s="3">
        <f>'Reporte Costo-Beneficio'!AJ24</f>
        <v/>
      </c>
      <c r="D37" s="4">
        <f>C37-B37</f>
        <v/>
      </c>
      <c r="E37" s="5">
        <f>IF(B37=0,0,D37/B37)</f>
        <v/>
      </c>
      <c r="F37" s="7">
        <f>SUM(Supuestos!M12:M22)</f>
        <v/>
      </c>
    </row>
    <row r="38">
      <c r="A38" s="2" t="inlineStr">
        <is>
          <t>Octubre</t>
        </is>
      </c>
      <c r="B38" s="26">
        <f>'Reporte Costo-Beneficio'!AM23</f>
        <v/>
      </c>
      <c r="C38" s="3">
        <f>'Reporte Costo-Beneficio'!AN24</f>
        <v/>
      </c>
      <c r="D38" s="4">
        <f>C38-B38</f>
        <v/>
      </c>
      <c r="E38" s="5">
        <f>IF(B38=0,0,D38/B38)</f>
        <v/>
      </c>
      <c r="F38" s="7">
        <f>SUM(Supuestos!N12:N22)</f>
        <v/>
      </c>
    </row>
    <row r="39">
      <c r="A39" s="2" t="inlineStr">
        <is>
          <t>Noviembre</t>
        </is>
      </c>
      <c r="B39" s="26">
        <f>'Reporte Costo-Beneficio'!AQ23</f>
        <v/>
      </c>
      <c r="C39" s="3">
        <f>'Reporte Costo-Beneficio'!AR24</f>
        <v/>
      </c>
      <c r="D39" s="4">
        <f>C39-B39</f>
        <v/>
      </c>
      <c r="E39" s="5">
        <f>IF(B39=0,0,D39/B39)</f>
        <v/>
      </c>
      <c r="F39" s="7">
        <f>SUM(Supuestos!O12:O22)</f>
        <v/>
      </c>
    </row>
    <row r="40">
      <c r="A40" s="2" t="inlineStr">
        <is>
          <t>Diciembre</t>
        </is>
      </c>
      <c r="B40" s="26">
        <f>'Reporte Costo-Beneficio'!AU23</f>
        <v/>
      </c>
      <c r="C40" s="3">
        <f>'Reporte Costo-Beneficio'!AV24</f>
        <v/>
      </c>
      <c r="D40" s="4">
        <f>C40-B40</f>
        <v/>
      </c>
      <c r="E40" s="5">
        <f>IF(B40=0,0,D40/B40)</f>
        <v/>
      </c>
      <c r="F40" s="7">
        <f>SUM(Supuestos!P12:P22)</f>
        <v/>
      </c>
    </row>
    <row r="41">
      <c r="A41" s="13" t="inlineStr">
        <is>
          <t>TOTAL</t>
        </is>
      </c>
      <c r="B41" s="14">
        <f>SUM(B29:B40)</f>
        <v/>
      </c>
      <c r="C41" s="14">
        <f>SUM(C29:C40)</f>
        <v/>
      </c>
      <c r="D41" s="14">
        <f>SUM(D29:D40)</f>
        <v/>
      </c>
      <c r="E41" s="15">
        <f>D41/B41</f>
        <v/>
      </c>
      <c r="F41" s="13" t="n"/>
    </row>
    <row r="43">
      <c r="A43" t="inlineStr">
        <is>
          <t>Mejor mes (beneficio neto):</t>
        </is>
      </c>
      <c r="B43" s="17">
        <f>INDEX(A29:A40,MATCH(MAX(D29:D40),D29:D40,0))</f>
        <v/>
      </c>
    </row>
    <row r="44">
      <c r="A44" t="inlineStr">
        <is>
          <t>Campaña con mayor ROI:</t>
        </is>
      </c>
      <c r="B44" s="17">
        <f>INDEX(B14:B24,MATCH(MAX(F14:F24),F14:F24,0))</f>
        <v/>
      </c>
    </row>
    <row r="45">
      <c r="A45" t="inlineStr">
        <is>
          <t>Campaña con menor ROI:</t>
        </is>
      </c>
      <c r="B45" s="17">
        <f>INDEX(B14:B24,MATCH(MIN(F14:F24),F14:F24,0))</f>
        <v/>
      </c>
    </row>
  </sheetData>
  <conditionalFormatting sqref="F14:F24">
    <cfRule type="colorScale" priority="2">
      <colorScale>
        <cfvo type="min"/>
        <cfvo type="percentile" val="50"/>
        <cfvo type="max"/>
        <color rgb="FFF8CBAD"/>
        <color rgb="FFFFEB84"/>
        <color rgb="FFA9D08E"/>
      </colorScale>
    </cfRule>
  </conditionalFormatting>
  <pageMargins left="0.75" right="0.75" top="1" bottom="1" header="0.511811023622047" footer="0.511811023622047"/>
  <pageSetup orientation="landscape" paperSize="8" fitToHeight="0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B29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2" sqref="AW12"/>
    </sheetView>
  </sheetViews>
  <sheetFormatPr baseColWidth="10" defaultColWidth="8.7109375" defaultRowHeight="15"/>
  <cols>
    <col width="27" customWidth="1" style="42" min="1" max="1"/>
    <col width="44" customWidth="1" style="42" min="2" max="2"/>
    <col width="13" customWidth="1" style="42" min="3" max="5"/>
    <col width="8" customWidth="1" style="42" min="6" max="6"/>
    <col width="13" customWidth="1" style="42" min="7" max="9"/>
    <col width="8" customWidth="1" style="42" min="10" max="10"/>
    <col width="13" customWidth="1" style="42" min="11" max="13"/>
    <col width="8" customWidth="1" style="42" min="14" max="14"/>
    <col width="13" customWidth="1" style="42" min="15" max="17"/>
    <col width="8" customWidth="1" style="42" min="18" max="18"/>
    <col width="13" customWidth="1" style="42" min="19" max="21"/>
    <col width="8" customWidth="1" style="42" min="22" max="22"/>
    <col width="13" customWidth="1" style="42" min="23" max="25"/>
    <col width="8" customWidth="1" style="42" min="26" max="26"/>
    <col width="13" customWidth="1" style="42" min="27" max="29"/>
    <col width="8" customWidth="1" style="42" min="30" max="30"/>
    <col width="13" customWidth="1" style="42" min="31" max="33"/>
    <col width="8" customWidth="1" style="42" min="34" max="34"/>
    <col width="13" customWidth="1" style="42" min="35" max="37"/>
    <col width="8" customWidth="1" style="42" min="38" max="38"/>
    <col width="13" customWidth="1" style="42" min="39" max="41"/>
    <col width="8" customWidth="1" style="42" min="42" max="42"/>
    <col width="13" customWidth="1" style="42" min="43" max="45"/>
    <col width="8" customWidth="1" style="42" min="46" max="46"/>
    <col width="13" customWidth="1" style="42" min="47" max="49"/>
    <col width="8" customWidth="1" style="42" min="50" max="50"/>
    <col width="13" customWidth="1" style="42" min="51" max="53"/>
    <col width="8" customWidth="1" style="42" min="54" max="54"/>
  </cols>
  <sheetData>
    <row r="1" ht="16.5" customHeight="1" s="42">
      <c r="A1" s="31" t="inlineStr">
        <is>
          <t>DÖNER STREET — PLAN DE COSTO / BENEFICIO DE MARKETING 2027 POR CAMPAÑA Y MES (FORECAST)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</row>
    <row r="2">
      <c r="A2" s="18" t="n"/>
    </row>
    <row r="4" ht="15" customHeight="1" s="42">
      <c r="A4" s="30" t="inlineStr">
        <is>
          <t>Área</t>
        </is>
      </c>
      <c r="B4" s="30" t="inlineStr">
        <is>
          <t>Campaña</t>
        </is>
      </c>
      <c r="C4" s="30" t="inlineStr">
        <is>
          <t>Enero</t>
        </is>
      </c>
      <c r="D4" s="30" t="n"/>
      <c r="E4" s="30" t="n"/>
      <c r="F4" s="30" t="n"/>
      <c r="G4" s="30" t="inlineStr">
        <is>
          <t>Febrero</t>
        </is>
      </c>
      <c r="H4" s="30" t="n"/>
      <c r="I4" s="30" t="n"/>
      <c r="J4" s="30" t="n"/>
      <c r="K4" s="30" t="inlineStr">
        <is>
          <t>Marzo</t>
        </is>
      </c>
      <c r="L4" s="30" t="n"/>
      <c r="M4" s="30" t="n"/>
      <c r="N4" s="30" t="n"/>
      <c r="O4" s="30" t="inlineStr">
        <is>
          <t>Abril</t>
        </is>
      </c>
      <c r="P4" s="30" t="n"/>
      <c r="Q4" s="30" t="n"/>
      <c r="R4" s="30" t="n"/>
      <c r="S4" s="30" t="inlineStr">
        <is>
          <t>Mayo</t>
        </is>
      </c>
      <c r="T4" s="30" t="n"/>
      <c r="U4" s="30" t="n"/>
      <c r="V4" s="30" t="n"/>
      <c r="W4" s="30" t="inlineStr">
        <is>
          <t>Junio</t>
        </is>
      </c>
      <c r="X4" s="30" t="n"/>
      <c r="Y4" s="30" t="n"/>
      <c r="Z4" s="30" t="n"/>
      <c r="AA4" s="30" t="inlineStr">
        <is>
          <t>Julio</t>
        </is>
      </c>
      <c r="AB4" s="30" t="n"/>
      <c r="AC4" s="30" t="n"/>
      <c r="AD4" s="30" t="n"/>
      <c r="AE4" s="30" t="inlineStr">
        <is>
          <t>Agosto</t>
        </is>
      </c>
      <c r="AF4" s="30" t="n"/>
      <c r="AG4" s="30" t="n"/>
      <c r="AH4" s="30" t="n"/>
      <c r="AI4" s="30" t="inlineStr">
        <is>
          <t>Septiembre</t>
        </is>
      </c>
      <c r="AJ4" s="30" t="n"/>
      <c r="AK4" s="30" t="n"/>
      <c r="AL4" s="30" t="n"/>
      <c r="AM4" s="30" t="inlineStr">
        <is>
          <t>Octubre</t>
        </is>
      </c>
      <c r="AN4" s="30" t="n"/>
      <c r="AO4" s="30" t="n"/>
      <c r="AP4" s="30" t="n"/>
      <c r="AQ4" s="30" t="inlineStr">
        <is>
          <t>Noviembre</t>
        </is>
      </c>
      <c r="AR4" s="30" t="n"/>
      <c r="AS4" s="30" t="n"/>
      <c r="AT4" s="30" t="n"/>
      <c r="AU4" s="30" t="inlineStr">
        <is>
          <t>Diciembre</t>
        </is>
      </c>
      <c r="AV4" s="30" t="n"/>
      <c r="AW4" s="30" t="n"/>
      <c r="AX4" s="30" t="n"/>
      <c r="AY4" s="12" t="inlineStr">
        <is>
          <t>TOTAL ANUAL</t>
        </is>
      </c>
      <c r="AZ4" s="45" t="n"/>
      <c r="BA4" s="45" t="n"/>
      <c r="BB4" s="46" t="n"/>
    </row>
    <row r="5" ht="30" customHeight="1" s="42">
      <c r="A5" s="47" t="n"/>
      <c r="B5" s="47" t="n"/>
      <c r="C5" s="32" t="inlineStr">
        <is>
          <t>Costo
(inversión)</t>
        </is>
      </c>
      <c r="D5" s="32" t="inlineStr">
        <is>
          <t>Ingreso
(forecast)</t>
        </is>
      </c>
      <c r="E5" s="32" t="inlineStr">
        <is>
          <t>Beneficio
neto</t>
        </is>
      </c>
      <c r="F5" s="32" t="inlineStr">
        <is>
          <t>ROI</t>
        </is>
      </c>
      <c r="G5" s="32" t="inlineStr">
        <is>
          <t>Costo
(inversión)</t>
        </is>
      </c>
      <c r="H5" s="32" t="inlineStr">
        <is>
          <t>Ingreso
(forecast)</t>
        </is>
      </c>
      <c r="I5" s="32" t="inlineStr">
        <is>
          <t>Beneficio
neto</t>
        </is>
      </c>
      <c r="J5" s="32" t="inlineStr">
        <is>
          <t>ROI</t>
        </is>
      </c>
      <c r="K5" s="32" t="inlineStr">
        <is>
          <t>Costo
(inversión)</t>
        </is>
      </c>
      <c r="L5" s="32" t="inlineStr">
        <is>
          <t>Ingreso
(forecast)</t>
        </is>
      </c>
      <c r="M5" s="32" t="inlineStr">
        <is>
          <t>Beneficio
neto</t>
        </is>
      </c>
      <c r="N5" s="32" t="inlineStr">
        <is>
          <t>ROI</t>
        </is>
      </c>
      <c r="O5" s="32" t="inlineStr">
        <is>
          <t>Costo
(inversión)</t>
        </is>
      </c>
      <c r="P5" s="32" t="inlineStr">
        <is>
          <t>Ingreso
(forecast)</t>
        </is>
      </c>
      <c r="Q5" s="32" t="inlineStr">
        <is>
          <t>Beneficio
neto</t>
        </is>
      </c>
      <c r="R5" s="32" t="inlineStr">
        <is>
          <t>ROI</t>
        </is>
      </c>
      <c r="S5" s="32" t="inlineStr">
        <is>
          <t>Costo
(inversión)</t>
        </is>
      </c>
      <c r="T5" s="32" t="inlineStr">
        <is>
          <t>Ingreso
(forecast)</t>
        </is>
      </c>
      <c r="U5" s="32" t="inlineStr">
        <is>
          <t>Beneficio
neto</t>
        </is>
      </c>
      <c r="V5" s="32" t="inlineStr">
        <is>
          <t>ROI</t>
        </is>
      </c>
      <c r="W5" s="32" t="inlineStr">
        <is>
          <t>Costo
(inversión)</t>
        </is>
      </c>
      <c r="X5" s="32" t="inlineStr">
        <is>
          <t>Ingreso
(forecast)</t>
        </is>
      </c>
      <c r="Y5" s="32" t="inlineStr">
        <is>
          <t>Beneficio
neto</t>
        </is>
      </c>
      <c r="Z5" s="32" t="inlineStr">
        <is>
          <t>ROI</t>
        </is>
      </c>
      <c r="AA5" s="32" t="inlineStr">
        <is>
          <t>Costo
(inversión)</t>
        </is>
      </c>
      <c r="AB5" s="32" t="inlineStr">
        <is>
          <t>Ingreso
(forecast)</t>
        </is>
      </c>
      <c r="AC5" s="32" t="inlineStr">
        <is>
          <t>Beneficio
neto</t>
        </is>
      </c>
      <c r="AD5" s="32" t="inlineStr">
        <is>
          <t>ROI</t>
        </is>
      </c>
      <c r="AE5" s="32" t="inlineStr">
        <is>
          <t>Costo
(inversión)</t>
        </is>
      </c>
      <c r="AF5" s="32" t="inlineStr">
        <is>
          <t>Ingreso
(forecast)</t>
        </is>
      </c>
      <c r="AG5" s="32" t="inlineStr">
        <is>
          <t>Beneficio
neto</t>
        </is>
      </c>
      <c r="AH5" s="32" t="inlineStr">
        <is>
          <t>ROI</t>
        </is>
      </c>
      <c r="AI5" s="32" t="inlineStr">
        <is>
          <t>Costo
(inversión)</t>
        </is>
      </c>
      <c r="AJ5" s="32" t="inlineStr">
        <is>
          <t>Ingreso
(forecast)</t>
        </is>
      </c>
      <c r="AK5" s="32" t="inlineStr">
        <is>
          <t>Beneficio
neto</t>
        </is>
      </c>
      <c r="AL5" s="32" t="inlineStr">
        <is>
          <t>ROI</t>
        </is>
      </c>
      <c r="AM5" s="32" t="inlineStr">
        <is>
          <t>Costo
(inversión)</t>
        </is>
      </c>
      <c r="AN5" s="32" t="inlineStr">
        <is>
          <t>Ingreso
(forecast)</t>
        </is>
      </c>
      <c r="AO5" s="32" t="inlineStr">
        <is>
          <t>Beneficio
neto</t>
        </is>
      </c>
      <c r="AP5" s="32" t="inlineStr">
        <is>
          <t>ROI</t>
        </is>
      </c>
      <c r="AQ5" s="32" t="inlineStr">
        <is>
          <t>Costo
(inversión)</t>
        </is>
      </c>
      <c r="AR5" s="32" t="inlineStr">
        <is>
          <t>Ingreso
(forecast)</t>
        </is>
      </c>
      <c r="AS5" s="32" t="inlineStr">
        <is>
          <t>Beneficio
neto</t>
        </is>
      </c>
      <c r="AT5" s="32" t="inlineStr">
        <is>
          <t>ROI</t>
        </is>
      </c>
      <c r="AU5" s="32" t="inlineStr">
        <is>
          <t>Costo
(inversión)</t>
        </is>
      </c>
      <c r="AV5" s="32" t="inlineStr">
        <is>
          <t>Ingreso
(forecast)</t>
        </is>
      </c>
      <c r="AW5" s="32" t="inlineStr">
        <is>
          <t>Beneficio
neto</t>
        </is>
      </c>
      <c r="AX5" s="32" t="inlineStr">
        <is>
          <t>ROI</t>
        </is>
      </c>
      <c r="AY5" s="32" t="inlineStr">
        <is>
          <t>Costo
(inversión)</t>
        </is>
      </c>
      <c r="AZ5" s="32" t="inlineStr">
        <is>
          <t>Ingreso
(forecast)</t>
        </is>
      </c>
      <c r="BA5" s="32" t="inlineStr">
        <is>
          <t>Beneficio
neto</t>
        </is>
      </c>
      <c r="BB5" s="32" t="inlineStr">
        <is>
          <t>ROI</t>
        </is>
      </c>
    </row>
    <row r="6">
      <c r="A6" s="19" t="inlineStr">
        <is>
          <t>LANZAMIENTO — Total</t>
        </is>
      </c>
      <c r="B6" s="19" t="n"/>
      <c r="C6" s="20">
        <f>SUM(C7:C8)</f>
        <v/>
      </c>
      <c r="D6" s="20">
        <f>SUM(D7:D8)</f>
        <v/>
      </c>
      <c r="E6" s="20">
        <f>D6-C6</f>
        <v/>
      </c>
      <c r="F6" s="21">
        <f>IF(C6=0,0,E6/C6)</f>
        <v/>
      </c>
      <c r="G6" s="20">
        <f>SUM(G7:G8)</f>
        <v/>
      </c>
      <c r="H6" s="20">
        <f>SUM(H7:H8)</f>
        <v/>
      </c>
      <c r="I6" s="20">
        <f>H6-G6</f>
        <v/>
      </c>
      <c r="J6" s="21">
        <f>IF(G6=0,0,I6/G6)</f>
        <v/>
      </c>
      <c r="K6" s="20">
        <f>SUM(K7:K8)</f>
        <v/>
      </c>
      <c r="L6" s="20">
        <f>SUM(L7:L8)</f>
        <v/>
      </c>
      <c r="M6" s="20">
        <f>L6-K6</f>
        <v/>
      </c>
      <c r="N6" s="21">
        <f>IF(K6=0,0,M6/K6)</f>
        <v/>
      </c>
      <c r="O6" s="20">
        <f>SUM(O7:O8)</f>
        <v/>
      </c>
      <c r="P6" s="20">
        <f>SUM(P7:P8)</f>
        <v/>
      </c>
      <c r="Q6" s="20">
        <f>P6-O6</f>
        <v/>
      </c>
      <c r="R6" s="21">
        <f>IF(O6=0,0,Q6/O6)</f>
        <v/>
      </c>
      <c r="S6" s="20">
        <f>SUM(S7:S8)</f>
        <v/>
      </c>
      <c r="T6" s="20">
        <f>SUM(T7:T8)</f>
        <v/>
      </c>
      <c r="U6" s="20">
        <f>T6-S6</f>
        <v/>
      </c>
      <c r="V6" s="21">
        <f>IF(S6=0,0,U6/S6)</f>
        <v/>
      </c>
      <c r="W6" s="20">
        <f>SUM(W7:W8)</f>
        <v/>
      </c>
      <c r="X6" s="20">
        <f>SUM(X7:X8)</f>
        <v/>
      </c>
      <c r="Y6" s="20">
        <f>X6-W6</f>
        <v/>
      </c>
      <c r="Z6" s="21">
        <f>IF(W6=0,0,Y6/W6)</f>
        <v/>
      </c>
      <c r="AA6" s="20">
        <f>SUM(AA7:AA8)</f>
        <v/>
      </c>
      <c r="AB6" s="20">
        <f>SUM(AB7:AB8)</f>
        <v/>
      </c>
      <c r="AC6" s="20">
        <f>AB6-AA6</f>
        <v/>
      </c>
      <c r="AD6" s="21">
        <f>IF(AA6=0,0,AC6/AA6)</f>
        <v/>
      </c>
      <c r="AE6" s="20">
        <f>SUM(AE7:AE8)</f>
        <v/>
      </c>
      <c r="AF6" s="20">
        <f>SUM(AF7:AF8)</f>
        <v/>
      </c>
      <c r="AG6" s="20">
        <f>AF6-AE6</f>
        <v/>
      </c>
      <c r="AH6" s="21">
        <f>IF(AE6=0,0,AG6/AE6)</f>
        <v/>
      </c>
      <c r="AI6" s="20">
        <f>SUM(AI7:AI8)</f>
        <v/>
      </c>
      <c r="AJ6" s="20">
        <f>SUM(AJ7:AJ8)</f>
        <v/>
      </c>
      <c r="AK6" s="20">
        <f>AJ6-AI6</f>
        <v/>
      </c>
      <c r="AL6" s="21">
        <f>IF(AI6=0,0,AK6/AI6)</f>
        <v/>
      </c>
      <c r="AM6" s="20">
        <f>SUM(AM7:AM8)</f>
        <v/>
      </c>
      <c r="AN6" s="20">
        <f>SUM(AN7:AN8)</f>
        <v/>
      </c>
      <c r="AO6" s="20">
        <f>AN6-AM6</f>
        <v/>
      </c>
      <c r="AP6" s="21">
        <f>IF(AM6=0,0,AO6/AM6)</f>
        <v/>
      </c>
      <c r="AQ6" s="20">
        <f>SUM(AQ7:AQ8)</f>
        <v/>
      </c>
      <c r="AR6" s="20">
        <f>SUM(AR7:AR8)</f>
        <v/>
      </c>
      <c r="AS6" s="20">
        <f>AR6-AQ6</f>
        <v/>
      </c>
      <c r="AT6" s="21">
        <f>IF(AQ6=0,0,AS6/AQ6)</f>
        <v/>
      </c>
      <c r="AU6" s="20">
        <f>SUM(AU7:AU8)</f>
        <v/>
      </c>
      <c r="AV6" s="20">
        <f>SUM(AV7:AV8)</f>
        <v/>
      </c>
      <c r="AW6" s="20">
        <f>AV6-AU6</f>
        <v/>
      </c>
      <c r="AX6" s="21">
        <f>IF(AU6=0,0,AW6/AU6)</f>
        <v/>
      </c>
      <c r="AY6" s="20">
        <f>C6+G6+K6+O6+S6+W6+AA6+AE6+AI6+AM6+AQ6+AU6</f>
        <v/>
      </c>
      <c r="AZ6" s="20">
        <f>D6+H6+L6+P6+T6+X6+AB6+AF6+AJ6+AN6+AR6+AV6</f>
        <v/>
      </c>
      <c r="BA6" s="20">
        <f>AZ6-AY6</f>
        <v/>
      </c>
      <c r="BB6" s="21">
        <f>IF(AY6=0,0,BA6/AY6)</f>
        <v/>
      </c>
    </row>
    <row r="7">
      <c r="A7" s="2" t="inlineStr">
        <is>
          <t>LANZAMIENTO</t>
        </is>
      </c>
      <c r="B7" s="27">
        <f>Supuestos!B12</f>
        <v/>
      </c>
      <c r="C7" s="34">
        <f>Supuestos!$T12/Supuestos!$Q12*Supuestos!E12</f>
        <v/>
      </c>
      <c r="D7" s="34">
        <f>Supuestos!$C12/Supuestos!$Q12*Supuestos!E12*Supuestos!$D12*Supuestos!E$7</f>
        <v/>
      </c>
      <c r="E7" s="37">
        <f>D7-C7</f>
        <v/>
      </c>
      <c r="F7" s="43">
        <f>IF(C7=0,0,E7/C7)</f>
        <v/>
      </c>
      <c r="G7" s="34">
        <f>Supuestos!$T12/Supuestos!$Q12*Supuestos!F12</f>
        <v/>
      </c>
      <c r="H7" s="34">
        <f>Supuestos!$C12/Supuestos!$Q12*Supuestos!F12*Supuestos!$D12*Supuestos!F$7</f>
        <v/>
      </c>
      <c r="I7" s="37">
        <f>H7-G7</f>
        <v/>
      </c>
      <c r="J7" s="43">
        <f>IF(G7=0,0,I7/G7)</f>
        <v/>
      </c>
      <c r="K7" s="34">
        <f>Supuestos!$T12/Supuestos!$Q12*Supuestos!G12</f>
        <v/>
      </c>
      <c r="L7" s="34">
        <f>Supuestos!$C12/Supuestos!$Q12*Supuestos!G12*Supuestos!$D12*Supuestos!G$7</f>
        <v/>
      </c>
      <c r="M7" s="37">
        <f>L7-K7</f>
        <v/>
      </c>
      <c r="N7" s="43">
        <f>IF(K7=0,0,M7/K7)</f>
        <v/>
      </c>
      <c r="O7" s="34">
        <f>Supuestos!$T12/Supuestos!$Q12*Supuestos!H12</f>
        <v/>
      </c>
      <c r="P7" s="34">
        <f>Supuestos!$C12/Supuestos!$Q12*Supuestos!H12*Supuestos!$D12*Supuestos!H$7</f>
        <v/>
      </c>
      <c r="Q7" s="37">
        <f>P7-O7</f>
        <v/>
      </c>
      <c r="R7" s="43">
        <f>IF(O7=0,0,Q7/O7)</f>
        <v/>
      </c>
      <c r="S7" s="34">
        <f>Supuestos!$T12/Supuestos!$Q12*Supuestos!I12</f>
        <v/>
      </c>
      <c r="T7" s="34">
        <f>Supuestos!$C12/Supuestos!$Q12*Supuestos!I12*Supuestos!$D12*Supuestos!I$7</f>
        <v/>
      </c>
      <c r="U7" s="37">
        <f>T7-S7</f>
        <v/>
      </c>
      <c r="V7" s="43">
        <f>IF(S7=0,0,U7/S7)</f>
        <v/>
      </c>
      <c r="W7" s="34">
        <f>Supuestos!$T12/Supuestos!$Q12*Supuestos!J12</f>
        <v/>
      </c>
      <c r="X7" s="34">
        <f>Supuestos!$C12/Supuestos!$Q12*Supuestos!J12*Supuestos!$D12*Supuestos!J$7</f>
        <v/>
      </c>
      <c r="Y7" s="37">
        <f>X7-W7</f>
        <v/>
      </c>
      <c r="Z7" s="43">
        <f>IF(W7=0,0,Y7/W7)</f>
        <v/>
      </c>
      <c r="AA7" s="34">
        <f>Supuestos!$T12/Supuestos!$Q12*Supuestos!K12</f>
        <v/>
      </c>
      <c r="AB7" s="34">
        <f>Supuestos!$C12/Supuestos!$Q12*Supuestos!K12*Supuestos!$D12*Supuestos!K$7</f>
        <v/>
      </c>
      <c r="AC7" s="37">
        <f>AB7-AA7</f>
        <v/>
      </c>
      <c r="AD7" s="43">
        <f>IF(AA7=0,0,AC7/AA7)</f>
        <v/>
      </c>
      <c r="AE7" s="34">
        <f>Supuestos!$T12/Supuestos!$Q12*Supuestos!L12</f>
        <v/>
      </c>
      <c r="AF7" s="34">
        <f>Supuestos!$C12/Supuestos!$Q12*Supuestos!L12*Supuestos!$D12*Supuestos!L$7</f>
        <v/>
      </c>
      <c r="AG7" s="37">
        <f>AF7-AE7</f>
        <v/>
      </c>
      <c r="AH7" s="43">
        <f>IF(AE7=0,0,AG7/AE7)</f>
        <v/>
      </c>
      <c r="AI7" s="34">
        <f>Supuestos!$T12/Supuestos!$Q12*Supuestos!M12</f>
        <v/>
      </c>
      <c r="AJ7" s="34">
        <f>Supuestos!$C12/Supuestos!$Q12*Supuestos!M12*Supuestos!$D12*Supuestos!M$7</f>
        <v/>
      </c>
      <c r="AK7" s="37">
        <f>AJ7-AI7</f>
        <v/>
      </c>
      <c r="AL7" s="43">
        <f>IF(AI7=0,0,AK7/AI7)</f>
        <v/>
      </c>
      <c r="AM7" s="34">
        <f>Supuestos!$T12/Supuestos!$Q12*Supuestos!N12</f>
        <v/>
      </c>
      <c r="AN7" s="34">
        <f>Supuestos!$C12/Supuestos!$Q12*Supuestos!N12*Supuestos!$D12*Supuestos!N$7</f>
        <v/>
      </c>
      <c r="AO7" s="37">
        <f>AN7-AM7</f>
        <v/>
      </c>
      <c r="AP7" s="43">
        <f>IF(AM7=0,0,AO7/AM7)</f>
        <v/>
      </c>
      <c r="AQ7" s="34">
        <f>Supuestos!$T12/Supuestos!$Q12*Supuestos!O12</f>
        <v/>
      </c>
      <c r="AR7" s="34">
        <f>Supuestos!$C12/Supuestos!$Q12*Supuestos!O12*Supuestos!$D12*Supuestos!O$7</f>
        <v/>
      </c>
      <c r="AS7" s="37">
        <f>AR7-AQ7</f>
        <v/>
      </c>
      <c r="AT7" s="43">
        <f>IF(AQ7=0,0,AS7/AQ7)</f>
        <v/>
      </c>
      <c r="AU7" s="34">
        <f>Supuestos!$T12/Supuestos!$Q12*Supuestos!P12</f>
        <v/>
      </c>
      <c r="AV7" s="34">
        <f>Supuestos!$C12/Supuestos!$Q12*Supuestos!P12*Supuestos!$D12*Supuestos!P$7</f>
        <v/>
      </c>
      <c r="AW7" s="37">
        <f>AV7-AU7</f>
        <v/>
      </c>
      <c r="AX7" s="43">
        <f>IF(AU7=0,0,AW7/AU7)</f>
        <v/>
      </c>
      <c r="AY7" s="37">
        <f>C7+G7+K7+O7+S7+W7+AA7+AE7+AI7+AM7+AQ7+AU7</f>
        <v/>
      </c>
      <c r="AZ7" s="37">
        <f>D7+H7+L7+P7+T7+X7+AB7+AF7+AJ7+AN7+AR7+AV7</f>
        <v/>
      </c>
      <c r="BA7" s="37">
        <f>AZ7-AY7</f>
        <v/>
      </c>
      <c r="BB7" s="43">
        <f>IF(AY7=0,0,BA7/AY7)</f>
        <v/>
      </c>
    </row>
    <row r="8">
      <c r="A8" s="2" t="inlineStr">
        <is>
          <t>LANZAMIENTO</t>
        </is>
      </c>
      <c r="B8" s="27">
        <f>Supuestos!B13</f>
        <v/>
      </c>
      <c r="C8" s="34">
        <f>Supuestos!$T13/Supuestos!$Q13*Supuestos!E13</f>
        <v/>
      </c>
      <c r="D8" s="34">
        <f>Supuestos!$C13/Supuestos!$Q13*Supuestos!E13*Supuestos!$D13*Supuestos!E$7</f>
        <v/>
      </c>
      <c r="E8" s="37">
        <f>D8-C8</f>
        <v/>
      </c>
      <c r="F8" s="43">
        <f>IF(C8=0,0,E8/C8)</f>
        <v/>
      </c>
      <c r="G8" s="34">
        <f>Supuestos!$T13/Supuestos!$Q13*Supuestos!F13</f>
        <v/>
      </c>
      <c r="H8" s="34">
        <f>Supuestos!$C13/Supuestos!$Q13*Supuestos!F13*Supuestos!$D13*Supuestos!F$7</f>
        <v/>
      </c>
      <c r="I8" s="37">
        <f>H8-G8</f>
        <v/>
      </c>
      <c r="J8" s="43">
        <f>IF(G8=0,0,I8/G8)</f>
        <v/>
      </c>
      <c r="K8" s="34">
        <f>Supuestos!$T13/Supuestos!$Q13*Supuestos!G13</f>
        <v/>
      </c>
      <c r="L8" s="34">
        <f>Supuestos!$C13/Supuestos!$Q13*Supuestos!G13*Supuestos!$D13*Supuestos!G$7</f>
        <v/>
      </c>
      <c r="M8" s="37">
        <f>L8-K8</f>
        <v/>
      </c>
      <c r="N8" s="43">
        <f>IF(K8=0,0,M8/K8)</f>
        <v/>
      </c>
      <c r="O8" s="34">
        <f>Supuestos!$T13/Supuestos!$Q13*Supuestos!H13</f>
        <v/>
      </c>
      <c r="P8" s="34">
        <f>Supuestos!$C13/Supuestos!$Q13*Supuestos!H13*Supuestos!$D13*Supuestos!H$7</f>
        <v/>
      </c>
      <c r="Q8" s="37">
        <f>P8-O8</f>
        <v/>
      </c>
      <c r="R8" s="43">
        <f>IF(O8=0,0,Q8/O8)</f>
        <v/>
      </c>
      <c r="S8" s="34">
        <f>Supuestos!$T13/Supuestos!$Q13*Supuestos!I13</f>
        <v/>
      </c>
      <c r="T8" s="34">
        <f>Supuestos!$C13/Supuestos!$Q13*Supuestos!I13*Supuestos!$D13*Supuestos!I$7</f>
        <v/>
      </c>
      <c r="U8" s="37">
        <f>T8-S8</f>
        <v/>
      </c>
      <c r="V8" s="43">
        <f>IF(S8=0,0,U8/S8)</f>
        <v/>
      </c>
      <c r="W8" s="34">
        <f>Supuestos!$T13/Supuestos!$Q13*Supuestos!J13</f>
        <v/>
      </c>
      <c r="X8" s="34">
        <f>Supuestos!$C13/Supuestos!$Q13*Supuestos!J13*Supuestos!$D13*Supuestos!J$7</f>
        <v/>
      </c>
      <c r="Y8" s="37">
        <f>X8-W8</f>
        <v/>
      </c>
      <c r="Z8" s="43">
        <f>IF(W8=0,0,Y8/W8)</f>
        <v/>
      </c>
      <c r="AA8" s="34">
        <f>Supuestos!$T13/Supuestos!$Q13*Supuestos!K13</f>
        <v/>
      </c>
      <c r="AB8" s="34">
        <f>Supuestos!$C13/Supuestos!$Q13*Supuestos!K13*Supuestos!$D13*Supuestos!K$7</f>
        <v/>
      </c>
      <c r="AC8" s="37">
        <f>AB8-AA8</f>
        <v/>
      </c>
      <c r="AD8" s="43">
        <f>IF(AA8=0,0,AC8/AA8)</f>
        <v/>
      </c>
      <c r="AE8" s="34">
        <f>Supuestos!$T13/Supuestos!$Q13*Supuestos!L13</f>
        <v/>
      </c>
      <c r="AF8" s="34">
        <f>Supuestos!$C13/Supuestos!$Q13*Supuestos!L13*Supuestos!$D13*Supuestos!L$7</f>
        <v/>
      </c>
      <c r="AG8" s="37">
        <f>AF8-AE8</f>
        <v/>
      </c>
      <c r="AH8" s="43">
        <f>IF(AE8=0,0,AG8/AE8)</f>
        <v/>
      </c>
      <c r="AI8" s="34">
        <f>Supuestos!$T13/Supuestos!$Q13*Supuestos!M13</f>
        <v/>
      </c>
      <c r="AJ8" s="34">
        <f>Supuestos!$C13/Supuestos!$Q13*Supuestos!M13*Supuestos!$D13*Supuestos!M$7</f>
        <v/>
      </c>
      <c r="AK8" s="37">
        <f>AJ8-AI8</f>
        <v/>
      </c>
      <c r="AL8" s="43">
        <f>IF(AI8=0,0,AK8/AI8)</f>
        <v/>
      </c>
      <c r="AM8" s="34">
        <f>Supuestos!$T13/Supuestos!$Q13*Supuestos!N13</f>
        <v/>
      </c>
      <c r="AN8" s="34">
        <f>Supuestos!$C13/Supuestos!$Q13*Supuestos!N13*Supuestos!$D13*Supuestos!N$7</f>
        <v/>
      </c>
      <c r="AO8" s="37">
        <f>AN8-AM8</f>
        <v/>
      </c>
      <c r="AP8" s="43">
        <f>IF(AM8=0,0,AO8/AM8)</f>
        <v/>
      </c>
      <c r="AQ8" s="34">
        <f>Supuestos!$T13/Supuestos!$Q13*Supuestos!O13</f>
        <v/>
      </c>
      <c r="AR8" s="34">
        <f>Supuestos!$C13/Supuestos!$Q13*Supuestos!O13*Supuestos!$D13*Supuestos!O$7</f>
        <v/>
      </c>
      <c r="AS8" s="37">
        <f>AR8-AQ8</f>
        <v/>
      </c>
      <c r="AT8" s="43">
        <f>IF(AQ8=0,0,AS8/AQ8)</f>
        <v/>
      </c>
      <c r="AU8" s="34">
        <f>Supuestos!$T13/Supuestos!$Q13*Supuestos!P13</f>
        <v/>
      </c>
      <c r="AV8" s="34">
        <f>Supuestos!$C13/Supuestos!$Q13*Supuestos!P13*Supuestos!$D13*Supuestos!P$7</f>
        <v/>
      </c>
      <c r="AW8" s="37">
        <f>AV8-AU8</f>
        <v/>
      </c>
      <c r="AX8" s="43">
        <f>IF(AU8=0,0,AW8/AU8)</f>
        <v/>
      </c>
      <c r="AY8" s="37">
        <f>C8+G8+K8+O8+S8+W8+AA8+AE8+AI8+AM8+AQ8+AU8</f>
        <v/>
      </c>
      <c r="AZ8" s="37">
        <f>D8+H8+L8+P8+T8+X8+AB8+AF8+AJ8+AN8+AR8+AV8</f>
        <v/>
      </c>
      <c r="BA8" s="37">
        <f>AZ8-AY8</f>
        <v/>
      </c>
      <c r="BB8" s="43">
        <f>IF(AY8=0,0,BA8/AY8)</f>
        <v/>
      </c>
    </row>
    <row r="9">
      <c r="A9" s="19" t="inlineStr">
        <is>
          <t>PUBLICIDAD DIGITAL — Total</t>
        </is>
      </c>
      <c r="B9" s="19" t="n"/>
      <c r="C9" s="20">
        <f>SUM(C10:C13)</f>
        <v/>
      </c>
      <c r="D9" s="20">
        <f>SUM(D10:D13)</f>
        <v/>
      </c>
      <c r="E9" s="20">
        <f>D9-C9</f>
        <v/>
      </c>
      <c r="F9" s="21">
        <f>IF(C9=0,0,E9/C9)</f>
        <v/>
      </c>
      <c r="G9" s="20">
        <f>SUM(G10:G13)</f>
        <v/>
      </c>
      <c r="H9" s="20">
        <f>SUM(H10:H13)</f>
        <v/>
      </c>
      <c r="I9" s="20">
        <f>H9-G9</f>
        <v/>
      </c>
      <c r="J9" s="21">
        <f>IF(G9=0,0,I9/G9)</f>
        <v/>
      </c>
      <c r="K9" s="20">
        <f>SUM(K10:K13)</f>
        <v/>
      </c>
      <c r="L9" s="20">
        <f>SUM(L10:L13)</f>
        <v/>
      </c>
      <c r="M9" s="20">
        <f>L9-K9</f>
        <v/>
      </c>
      <c r="N9" s="21">
        <f>IF(K9=0,0,M9/K9)</f>
        <v/>
      </c>
      <c r="O9" s="20">
        <f>SUM(O10:O13)</f>
        <v/>
      </c>
      <c r="P9" s="20">
        <f>SUM(P10:P13)</f>
        <v/>
      </c>
      <c r="Q9" s="20">
        <f>P9-O9</f>
        <v/>
      </c>
      <c r="R9" s="21">
        <f>IF(O9=0,0,Q9/O9)</f>
        <v/>
      </c>
      <c r="S9" s="20">
        <f>SUM(S10:S13)</f>
        <v/>
      </c>
      <c r="T9" s="20">
        <f>SUM(T10:T13)</f>
        <v/>
      </c>
      <c r="U9" s="20">
        <f>T9-S9</f>
        <v/>
      </c>
      <c r="V9" s="21">
        <f>IF(S9=0,0,U9/S9)</f>
        <v/>
      </c>
      <c r="W9" s="20">
        <f>SUM(W10:W13)</f>
        <v/>
      </c>
      <c r="X9" s="20">
        <f>SUM(X10:X13)</f>
        <v/>
      </c>
      <c r="Y9" s="20">
        <f>X9-W9</f>
        <v/>
      </c>
      <c r="Z9" s="21">
        <f>IF(W9=0,0,Y9/W9)</f>
        <v/>
      </c>
      <c r="AA9" s="20">
        <f>SUM(AA10:AA13)</f>
        <v/>
      </c>
      <c r="AB9" s="20">
        <f>SUM(AB10:AB13)</f>
        <v/>
      </c>
      <c r="AC9" s="20">
        <f>AB9-AA9</f>
        <v/>
      </c>
      <c r="AD9" s="21">
        <f>IF(AA9=0,0,AC9/AA9)</f>
        <v/>
      </c>
      <c r="AE9" s="20">
        <f>SUM(AE10:AE13)</f>
        <v/>
      </c>
      <c r="AF9" s="20">
        <f>SUM(AF10:AF13)</f>
        <v/>
      </c>
      <c r="AG9" s="20">
        <f>AF9-AE9</f>
        <v/>
      </c>
      <c r="AH9" s="21">
        <f>IF(AE9=0,0,AG9/AE9)</f>
        <v/>
      </c>
      <c r="AI9" s="20">
        <f>SUM(AI10:AI13)</f>
        <v/>
      </c>
      <c r="AJ9" s="20">
        <f>SUM(AJ10:AJ13)</f>
        <v/>
      </c>
      <c r="AK9" s="20">
        <f>AJ9-AI9</f>
        <v/>
      </c>
      <c r="AL9" s="21">
        <f>IF(AI9=0,0,AK9/AI9)</f>
        <v/>
      </c>
      <c r="AM9" s="20">
        <f>SUM(AM10:AM13)</f>
        <v/>
      </c>
      <c r="AN9" s="20">
        <f>SUM(AN10:AN13)</f>
        <v/>
      </c>
      <c r="AO9" s="20">
        <f>AN9-AM9</f>
        <v/>
      </c>
      <c r="AP9" s="21">
        <f>IF(AM9=0,0,AO9/AM9)</f>
        <v/>
      </c>
      <c r="AQ9" s="20">
        <f>SUM(AQ10:AQ13)</f>
        <v/>
      </c>
      <c r="AR9" s="20">
        <f>SUM(AR10:AR13)</f>
        <v/>
      </c>
      <c r="AS9" s="20">
        <f>AR9-AQ9</f>
        <v/>
      </c>
      <c r="AT9" s="21">
        <f>IF(AQ9=0,0,AS9/AQ9)</f>
        <v/>
      </c>
      <c r="AU9" s="20">
        <f>SUM(AU10:AU13)</f>
        <v/>
      </c>
      <c r="AV9" s="20">
        <f>SUM(AV10:AV13)</f>
        <v/>
      </c>
      <c r="AW9" s="20">
        <f>AV9-AU9</f>
        <v/>
      </c>
      <c r="AX9" s="21">
        <f>IF(AU9=0,0,AW9/AU9)</f>
        <v/>
      </c>
      <c r="AY9" s="20">
        <f>C9+G9+K9+O9+S9+W9+AA9+AE9+AI9+AM9+AQ9+AU9</f>
        <v/>
      </c>
      <c r="AZ9" s="20">
        <f>D9+H9+L9+P9+T9+X9+AB9+AF9+AJ9+AN9+AR9+AV9</f>
        <v/>
      </c>
      <c r="BA9" s="20">
        <f>AZ9-AY9</f>
        <v/>
      </c>
      <c r="BB9" s="21">
        <f>IF(AY9=0,0,BA9/AY9)</f>
        <v/>
      </c>
    </row>
    <row r="10">
      <c r="A10" s="2" t="inlineStr">
        <is>
          <t>PUBLICIDAD DIGITAL</t>
        </is>
      </c>
      <c r="B10" s="27">
        <f>Supuestos!B14</f>
        <v/>
      </c>
      <c r="C10" s="34">
        <f>Supuestos!$T14/Supuestos!$Q14*Supuestos!E14</f>
        <v/>
      </c>
      <c r="D10" s="34">
        <f>Supuestos!$C14/Supuestos!$Q14*Supuestos!E14*Supuestos!$D14*Supuestos!E$7</f>
        <v/>
      </c>
      <c r="E10" s="37">
        <f>D10-C10</f>
        <v/>
      </c>
      <c r="F10" s="43">
        <f>IF(C10=0,0,E10/C10)</f>
        <v/>
      </c>
      <c r="G10" s="34">
        <f>Supuestos!$T14/Supuestos!$Q14*Supuestos!F14</f>
        <v/>
      </c>
      <c r="H10" s="34">
        <f>Supuestos!$C14/Supuestos!$Q14*Supuestos!F14*Supuestos!$D14*Supuestos!F$7</f>
        <v/>
      </c>
      <c r="I10" s="37">
        <f>H10-G10</f>
        <v/>
      </c>
      <c r="J10" s="43">
        <f>IF(G10=0,0,I10/G10)</f>
        <v/>
      </c>
      <c r="K10" s="34">
        <f>Supuestos!$T14/Supuestos!$Q14*Supuestos!G14</f>
        <v/>
      </c>
      <c r="L10" s="34">
        <f>Supuestos!$C14/Supuestos!$Q14*Supuestos!G14*Supuestos!$D14*Supuestos!G$7</f>
        <v/>
      </c>
      <c r="M10" s="37">
        <f>L10-K10</f>
        <v/>
      </c>
      <c r="N10" s="43">
        <f>IF(K10=0,0,M10/K10)</f>
        <v/>
      </c>
      <c r="O10" s="34">
        <f>Supuestos!$T14/Supuestos!$Q14*Supuestos!H14</f>
        <v/>
      </c>
      <c r="P10" s="34">
        <f>Supuestos!$C14/Supuestos!$Q14*Supuestos!H14*Supuestos!$D14*Supuestos!H$7</f>
        <v/>
      </c>
      <c r="Q10" s="37">
        <f>P10-O10</f>
        <v/>
      </c>
      <c r="R10" s="43">
        <f>IF(O10=0,0,Q10/O10)</f>
        <v/>
      </c>
      <c r="S10" s="34">
        <f>Supuestos!$T14/Supuestos!$Q14*Supuestos!I14</f>
        <v/>
      </c>
      <c r="T10" s="34">
        <f>Supuestos!$C14/Supuestos!$Q14*Supuestos!I14*Supuestos!$D14*Supuestos!I$7</f>
        <v/>
      </c>
      <c r="U10" s="37">
        <f>T10-S10</f>
        <v/>
      </c>
      <c r="V10" s="43">
        <f>IF(S10=0,0,U10/S10)</f>
        <v/>
      </c>
      <c r="W10" s="34">
        <f>Supuestos!$T14/Supuestos!$Q14*Supuestos!J14</f>
        <v/>
      </c>
      <c r="X10" s="34">
        <f>Supuestos!$C14/Supuestos!$Q14*Supuestos!J14*Supuestos!$D14*Supuestos!J$7</f>
        <v/>
      </c>
      <c r="Y10" s="37">
        <f>X10-W10</f>
        <v/>
      </c>
      <c r="Z10" s="43">
        <f>IF(W10=0,0,Y10/W10)</f>
        <v/>
      </c>
      <c r="AA10" s="34">
        <f>Supuestos!$T14/Supuestos!$Q14*Supuestos!K14</f>
        <v/>
      </c>
      <c r="AB10" s="34">
        <f>Supuestos!$C14/Supuestos!$Q14*Supuestos!K14*Supuestos!$D14*Supuestos!K$7</f>
        <v/>
      </c>
      <c r="AC10" s="37">
        <f>AB10-AA10</f>
        <v/>
      </c>
      <c r="AD10" s="43">
        <f>IF(AA10=0,0,AC10/AA10)</f>
        <v/>
      </c>
      <c r="AE10" s="34">
        <f>Supuestos!$T14/Supuestos!$Q14*Supuestos!L14</f>
        <v/>
      </c>
      <c r="AF10" s="34">
        <f>Supuestos!$C14/Supuestos!$Q14*Supuestos!L14*Supuestos!$D14*Supuestos!L$7</f>
        <v/>
      </c>
      <c r="AG10" s="37">
        <f>AF10-AE10</f>
        <v/>
      </c>
      <c r="AH10" s="43">
        <f>IF(AE10=0,0,AG10/AE10)</f>
        <v/>
      </c>
      <c r="AI10" s="34">
        <f>Supuestos!$T14/Supuestos!$Q14*Supuestos!M14</f>
        <v/>
      </c>
      <c r="AJ10" s="34">
        <f>Supuestos!$C14/Supuestos!$Q14*Supuestos!M14*Supuestos!$D14*Supuestos!M$7</f>
        <v/>
      </c>
      <c r="AK10" s="37">
        <f>AJ10-AI10</f>
        <v/>
      </c>
      <c r="AL10" s="43">
        <f>IF(AI10=0,0,AK10/AI10)</f>
        <v/>
      </c>
      <c r="AM10" s="34">
        <f>Supuestos!$T14/Supuestos!$Q14*Supuestos!N14</f>
        <v/>
      </c>
      <c r="AN10" s="34">
        <f>Supuestos!$C14/Supuestos!$Q14*Supuestos!N14*Supuestos!$D14*Supuestos!N$7</f>
        <v/>
      </c>
      <c r="AO10" s="37">
        <f>AN10-AM10</f>
        <v/>
      </c>
      <c r="AP10" s="43">
        <f>IF(AM10=0,0,AO10/AM10)</f>
        <v/>
      </c>
      <c r="AQ10" s="34">
        <f>Supuestos!$T14/Supuestos!$Q14*Supuestos!O14</f>
        <v/>
      </c>
      <c r="AR10" s="34">
        <f>Supuestos!$C14/Supuestos!$Q14*Supuestos!O14*Supuestos!$D14*Supuestos!O$7</f>
        <v/>
      </c>
      <c r="AS10" s="37">
        <f>AR10-AQ10</f>
        <v/>
      </c>
      <c r="AT10" s="43">
        <f>IF(AQ10=0,0,AS10/AQ10)</f>
        <v/>
      </c>
      <c r="AU10" s="34">
        <f>Supuestos!$T14/Supuestos!$Q14*Supuestos!P14</f>
        <v/>
      </c>
      <c r="AV10" s="34">
        <f>Supuestos!$C14/Supuestos!$Q14*Supuestos!P14*Supuestos!$D14*Supuestos!P$7</f>
        <v/>
      </c>
      <c r="AW10" s="37">
        <f>AV10-AU10</f>
        <v/>
      </c>
      <c r="AX10" s="43">
        <f>IF(AU10=0,0,AW10/AU10)</f>
        <v/>
      </c>
      <c r="AY10" s="37">
        <f>C10+G10+K10+O10+S10+W10+AA10+AE10+AI10+AM10+AQ10+AU10</f>
        <v/>
      </c>
      <c r="AZ10" s="37">
        <f>D10+H10+L10+P10+T10+X10+AB10+AF10+AJ10+AN10+AR10+AV10</f>
        <v/>
      </c>
      <c r="BA10" s="37">
        <f>AZ10-AY10</f>
        <v/>
      </c>
      <c r="BB10" s="43">
        <f>IF(AY10=0,0,BA10/AY10)</f>
        <v/>
      </c>
    </row>
    <row r="11">
      <c r="A11" s="2" t="inlineStr">
        <is>
          <t>PUBLICIDAD DIGITAL</t>
        </is>
      </c>
      <c r="B11" s="27">
        <f>Supuestos!B15</f>
        <v/>
      </c>
      <c r="C11" s="34">
        <f>Supuestos!$T15/Supuestos!$Q15*Supuestos!E15</f>
        <v/>
      </c>
      <c r="D11" s="34">
        <f>Supuestos!$C15/Supuestos!$Q15*Supuestos!E15*Supuestos!$D15*Supuestos!E$7</f>
        <v/>
      </c>
      <c r="E11" s="37">
        <f>D11-C11</f>
        <v/>
      </c>
      <c r="F11" s="43">
        <f>IF(C11=0,0,E11/C11)</f>
        <v/>
      </c>
      <c r="G11" s="34">
        <f>Supuestos!$T15/Supuestos!$Q15*Supuestos!F15</f>
        <v/>
      </c>
      <c r="H11" s="34">
        <f>Supuestos!$C15/Supuestos!$Q15*Supuestos!F15*Supuestos!$D15*Supuestos!F$7</f>
        <v/>
      </c>
      <c r="I11" s="37">
        <f>H11-G11</f>
        <v/>
      </c>
      <c r="J11" s="43">
        <f>IF(G11=0,0,I11/G11)</f>
        <v/>
      </c>
      <c r="K11" s="34">
        <f>Supuestos!$T15/Supuestos!$Q15*Supuestos!G15</f>
        <v/>
      </c>
      <c r="L11" s="34">
        <f>Supuestos!$C15/Supuestos!$Q15*Supuestos!G15*Supuestos!$D15*Supuestos!G$7</f>
        <v/>
      </c>
      <c r="M11" s="37">
        <f>L11-K11</f>
        <v/>
      </c>
      <c r="N11" s="43">
        <f>IF(K11=0,0,M11/K11)</f>
        <v/>
      </c>
      <c r="O11" s="34">
        <f>Supuestos!$T15/Supuestos!$Q15*Supuestos!H15</f>
        <v/>
      </c>
      <c r="P11" s="34">
        <f>Supuestos!$C15/Supuestos!$Q15*Supuestos!H15*Supuestos!$D15*Supuestos!H$7</f>
        <v/>
      </c>
      <c r="Q11" s="37">
        <f>P11-O11</f>
        <v/>
      </c>
      <c r="R11" s="43">
        <f>IF(O11=0,0,Q11/O11)</f>
        <v/>
      </c>
      <c r="S11" s="34">
        <f>Supuestos!$T15/Supuestos!$Q15*Supuestos!I15</f>
        <v/>
      </c>
      <c r="T11" s="34">
        <f>Supuestos!$C15/Supuestos!$Q15*Supuestos!I15*Supuestos!$D15*Supuestos!I$7</f>
        <v/>
      </c>
      <c r="U11" s="37">
        <f>T11-S11</f>
        <v/>
      </c>
      <c r="V11" s="43">
        <f>IF(S11=0,0,U11/S11)</f>
        <v/>
      </c>
      <c r="W11" s="34">
        <f>Supuestos!$T15/Supuestos!$Q15*Supuestos!J15</f>
        <v/>
      </c>
      <c r="X11" s="34">
        <f>Supuestos!$C15/Supuestos!$Q15*Supuestos!J15*Supuestos!$D15*Supuestos!J$7</f>
        <v/>
      </c>
      <c r="Y11" s="37">
        <f>X11-W11</f>
        <v/>
      </c>
      <c r="Z11" s="43">
        <f>IF(W11=0,0,Y11/W11)</f>
        <v/>
      </c>
      <c r="AA11" s="34">
        <f>Supuestos!$T15/Supuestos!$Q15*Supuestos!K15</f>
        <v/>
      </c>
      <c r="AB11" s="34">
        <f>Supuestos!$C15/Supuestos!$Q15*Supuestos!K15*Supuestos!$D15*Supuestos!K$7</f>
        <v/>
      </c>
      <c r="AC11" s="37">
        <f>AB11-AA11</f>
        <v/>
      </c>
      <c r="AD11" s="43">
        <f>IF(AA11=0,0,AC11/AA11)</f>
        <v/>
      </c>
      <c r="AE11" s="34">
        <f>Supuestos!$T15/Supuestos!$Q15*Supuestos!L15</f>
        <v/>
      </c>
      <c r="AF11" s="34">
        <f>Supuestos!$C15/Supuestos!$Q15*Supuestos!L15*Supuestos!$D15*Supuestos!L$7</f>
        <v/>
      </c>
      <c r="AG11" s="37">
        <f>AF11-AE11</f>
        <v/>
      </c>
      <c r="AH11" s="43">
        <f>IF(AE11=0,0,AG11/AE11)</f>
        <v/>
      </c>
      <c r="AI11" s="34">
        <f>Supuestos!$T15/Supuestos!$Q15*Supuestos!M15</f>
        <v/>
      </c>
      <c r="AJ11" s="34">
        <f>Supuestos!$C15/Supuestos!$Q15*Supuestos!M15*Supuestos!$D15*Supuestos!M$7</f>
        <v/>
      </c>
      <c r="AK11" s="37">
        <f>AJ11-AI11</f>
        <v/>
      </c>
      <c r="AL11" s="43">
        <f>IF(AI11=0,0,AK11/AI11)</f>
        <v/>
      </c>
      <c r="AM11" s="34">
        <f>Supuestos!$T15/Supuestos!$Q15*Supuestos!N15</f>
        <v/>
      </c>
      <c r="AN11" s="34">
        <f>Supuestos!$C15/Supuestos!$Q15*Supuestos!N15*Supuestos!$D15*Supuestos!N$7</f>
        <v/>
      </c>
      <c r="AO11" s="37">
        <f>AN11-AM11</f>
        <v/>
      </c>
      <c r="AP11" s="43">
        <f>IF(AM11=0,0,AO11/AM11)</f>
        <v/>
      </c>
      <c r="AQ11" s="34">
        <f>Supuestos!$T15/Supuestos!$Q15*Supuestos!O15</f>
        <v/>
      </c>
      <c r="AR11" s="34">
        <f>Supuestos!$C15/Supuestos!$Q15*Supuestos!O15*Supuestos!$D15*Supuestos!O$7</f>
        <v/>
      </c>
      <c r="AS11" s="37">
        <f>AR11-AQ11</f>
        <v/>
      </c>
      <c r="AT11" s="43">
        <f>IF(AQ11=0,0,AS11/AQ11)</f>
        <v/>
      </c>
      <c r="AU11" s="34">
        <f>Supuestos!$T15/Supuestos!$Q15*Supuestos!P15</f>
        <v/>
      </c>
      <c r="AV11" s="34">
        <f>Supuestos!$C15/Supuestos!$Q15*Supuestos!P15*Supuestos!$D15*Supuestos!P$7</f>
        <v/>
      </c>
      <c r="AW11" s="37">
        <f>AV11-AU11</f>
        <v/>
      </c>
      <c r="AX11" s="43">
        <f>IF(AU11=0,0,AW11/AU11)</f>
        <v/>
      </c>
      <c r="AY11" s="37">
        <f>C11+G11+K11+O11+S11+W11+AA11+AE11+AI11+AM11+AQ11+AU11</f>
        <v/>
      </c>
      <c r="AZ11" s="37">
        <f>D11+H11+L11+P11+T11+X11+AB11+AF11+AJ11+AN11+AR11+AV11</f>
        <v/>
      </c>
      <c r="BA11" s="37">
        <f>AZ11-AY11</f>
        <v/>
      </c>
      <c r="BB11" s="43">
        <f>IF(AY11=0,0,BA11/AY11)</f>
        <v/>
      </c>
    </row>
    <row r="12">
      <c r="A12" s="2" t="inlineStr">
        <is>
          <t>PUBLICIDAD DIGITAL</t>
        </is>
      </c>
      <c r="B12" s="27">
        <f>Supuestos!B16</f>
        <v/>
      </c>
      <c r="C12" s="34">
        <f>Supuestos!$T16/Supuestos!$Q16*Supuestos!E16</f>
        <v/>
      </c>
      <c r="D12" s="34">
        <f>Supuestos!$C16/Supuestos!$Q16*Supuestos!E16*Supuestos!$D16*Supuestos!E$7</f>
        <v/>
      </c>
      <c r="E12" s="37">
        <f>D12-C12</f>
        <v/>
      </c>
      <c r="F12" s="43">
        <f>IF(C12=0,0,E12/C12)</f>
        <v/>
      </c>
      <c r="G12" s="34">
        <f>Supuestos!$T16/Supuestos!$Q16*Supuestos!F16</f>
        <v/>
      </c>
      <c r="H12" s="34">
        <f>Supuestos!$C16/Supuestos!$Q16*Supuestos!F16*Supuestos!$D16*Supuestos!F$7</f>
        <v/>
      </c>
      <c r="I12" s="37">
        <f>H12-G12</f>
        <v/>
      </c>
      <c r="J12" s="43">
        <f>IF(G12=0,0,I12/G12)</f>
        <v/>
      </c>
      <c r="K12" s="34">
        <f>Supuestos!$T16/Supuestos!$Q16*Supuestos!G16</f>
        <v/>
      </c>
      <c r="L12" s="34">
        <f>Supuestos!$C16/Supuestos!$Q16*Supuestos!G16*Supuestos!$D16*Supuestos!G$7</f>
        <v/>
      </c>
      <c r="M12" s="37">
        <f>L12-K12</f>
        <v/>
      </c>
      <c r="N12" s="43">
        <f>IF(K12=0,0,M12/K12)</f>
        <v/>
      </c>
      <c r="O12" s="34">
        <f>Supuestos!$T16/Supuestos!$Q16*Supuestos!H16</f>
        <v/>
      </c>
      <c r="P12" s="34">
        <f>Supuestos!$C16/Supuestos!$Q16*Supuestos!H16*Supuestos!$D16*Supuestos!H$7</f>
        <v/>
      </c>
      <c r="Q12" s="37">
        <f>P12-O12</f>
        <v/>
      </c>
      <c r="R12" s="43">
        <f>IF(O12=0,0,Q12/O12)</f>
        <v/>
      </c>
      <c r="S12" s="34">
        <f>Supuestos!$T16/Supuestos!$Q16*Supuestos!I16</f>
        <v/>
      </c>
      <c r="T12" s="34">
        <f>Supuestos!$C16/Supuestos!$Q16*Supuestos!I16*Supuestos!$D16*Supuestos!I$7</f>
        <v/>
      </c>
      <c r="U12" s="37">
        <f>T12-S12</f>
        <v/>
      </c>
      <c r="V12" s="43">
        <f>IF(S12=0,0,U12/S12)</f>
        <v/>
      </c>
      <c r="W12" s="34">
        <f>Supuestos!$T16/Supuestos!$Q16*Supuestos!J16</f>
        <v/>
      </c>
      <c r="X12" s="34">
        <f>Supuestos!$C16/Supuestos!$Q16*Supuestos!J16*Supuestos!$D16*Supuestos!J$7</f>
        <v/>
      </c>
      <c r="Y12" s="37">
        <f>X12-W12</f>
        <v/>
      </c>
      <c r="Z12" s="43">
        <f>IF(W12=0,0,Y12/W12)</f>
        <v/>
      </c>
      <c r="AA12" s="34">
        <f>Supuestos!$T16/Supuestos!$Q16*Supuestos!K16</f>
        <v/>
      </c>
      <c r="AB12" s="34">
        <f>Supuestos!$C16/Supuestos!$Q16*Supuestos!K16*Supuestos!$D16*Supuestos!K$7</f>
        <v/>
      </c>
      <c r="AC12" s="37">
        <f>AB12-AA12</f>
        <v/>
      </c>
      <c r="AD12" s="43">
        <f>IF(AA12=0,0,AC12/AA12)</f>
        <v/>
      </c>
      <c r="AE12" s="34">
        <f>Supuestos!$T16/Supuestos!$Q16*Supuestos!L16</f>
        <v/>
      </c>
      <c r="AF12" s="34">
        <f>Supuestos!$C16/Supuestos!$Q16*Supuestos!L16*Supuestos!$D16*Supuestos!L$7</f>
        <v/>
      </c>
      <c r="AG12" s="37">
        <f>AF12-AE12</f>
        <v/>
      </c>
      <c r="AH12" s="43">
        <f>IF(AE12=0,0,AG12/AE12)</f>
        <v/>
      </c>
      <c r="AI12" s="34">
        <f>Supuestos!$T16/Supuestos!$Q16*Supuestos!M16</f>
        <v/>
      </c>
      <c r="AJ12" s="34">
        <f>Supuestos!$C16/Supuestos!$Q16*Supuestos!M16*Supuestos!$D16*Supuestos!M$7</f>
        <v/>
      </c>
      <c r="AK12" s="37">
        <f>AJ12-AI12</f>
        <v/>
      </c>
      <c r="AL12" s="43">
        <f>IF(AI12=0,0,AK12/AI12)</f>
        <v/>
      </c>
      <c r="AM12" s="34">
        <f>Supuestos!$T16/Supuestos!$Q16*Supuestos!N16</f>
        <v/>
      </c>
      <c r="AN12" s="34">
        <f>Supuestos!$C16/Supuestos!$Q16*Supuestos!N16*Supuestos!$D16*Supuestos!N$7</f>
        <v/>
      </c>
      <c r="AO12" s="37">
        <f>AN12-AM12</f>
        <v/>
      </c>
      <c r="AP12" s="43">
        <f>IF(AM12=0,0,AO12/AM12)</f>
        <v/>
      </c>
      <c r="AQ12" s="34">
        <f>Supuestos!$T16/Supuestos!$Q16*Supuestos!O16</f>
        <v/>
      </c>
      <c r="AR12" s="34">
        <f>Supuestos!$C16/Supuestos!$Q16*Supuestos!O16*Supuestos!$D16*Supuestos!O$7</f>
        <v/>
      </c>
      <c r="AS12" s="37">
        <f>AR12-AQ12</f>
        <v/>
      </c>
      <c r="AT12" s="43">
        <f>IF(AQ12=0,0,AS12/AQ12)</f>
        <v/>
      </c>
      <c r="AU12" s="34">
        <f>Supuestos!$T16/Supuestos!$Q16*Supuestos!P16</f>
        <v/>
      </c>
      <c r="AV12" s="34">
        <f>Supuestos!$C16/Supuestos!$Q16*Supuestos!P16*Supuestos!$D16*Supuestos!P$7</f>
        <v/>
      </c>
      <c r="AW12" s="37">
        <f>AV12-AU12</f>
        <v/>
      </c>
      <c r="AX12" s="43">
        <f>IF(AU12=0,0,AW12/AU12)</f>
        <v/>
      </c>
      <c r="AY12" s="37">
        <f>C12+G12+K12+O12+S12+W12+AA12+AE12+AI12+AM12+AQ12+AU12</f>
        <v/>
      </c>
      <c r="AZ12" s="37">
        <f>D12+H12+L12+P12+T12+X12+AB12+AF12+AJ12+AN12+AR12+AV12</f>
        <v/>
      </c>
      <c r="BA12" s="37">
        <f>AZ12-AY12</f>
        <v/>
      </c>
      <c r="BB12" s="43">
        <f>IF(AY12=0,0,BA12/AY12)</f>
        <v/>
      </c>
    </row>
    <row r="13">
      <c r="A13" s="2" t="inlineStr">
        <is>
          <t>PUBLICIDAD DIGITAL</t>
        </is>
      </c>
      <c r="B13" s="27">
        <f>Supuestos!B17</f>
        <v/>
      </c>
      <c r="C13" s="34">
        <f>Supuestos!$T17/Supuestos!$Q17*Supuestos!E17</f>
        <v/>
      </c>
      <c r="D13" s="34">
        <f>Supuestos!$C17/Supuestos!$Q17*Supuestos!E17*Supuestos!$D17*Supuestos!E$7</f>
        <v/>
      </c>
      <c r="E13" s="37">
        <f>D13-C13</f>
        <v/>
      </c>
      <c r="F13" s="43">
        <f>IF(C13=0,0,E13/C13)</f>
        <v/>
      </c>
      <c r="G13" s="34">
        <f>Supuestos!$T17/Supuestos!$Q17*Supuestos!F17</f>
        <v/>
      </c>
      <c r="H13" s="34">
        <f>Supuestos!$C17/Supuestos!$Q17*Supuestos!F17*Supuestos!$D17*Supuestos!F$7</f>
        <v/>
      </c>
      <c r="I13" s="37">
        <f>H13-G13</f>
        <v/>
      </c>
      <c r="J13" s="43">
        <f>IF(G13=0,0,I13/G13)</f>
        <v/>
      </c>
      <c r="K13" s="34">
        <f>Supuestos!$T17/Supuestos!$Q17*Supuestos!G17</f>
        <v/>
      </c>
      <c r="L13" s="34">
        <f>Supuestos!$C17/Supuestos!$Q17*Supuestos!G17*Supuestos!$D17*Supuestos!G$7</f>
        <v/>
      </c>
      <c r="M13" s="37">
        <f>L13-K13</f>
        <v/>
      </c>
      <c r="N13" s="43">
        <f>IF(K13=0,0,M13/K13)</f>
        <v/>
      </c>
      <c r="O13" s="34">
        <f>Supuestos!$T17/Supuestos!$Q17*Supuestos!H17</f>
        <v/>
      </c>
      <c r="P13" s="34">
        <f>Supuestos!$C17/Supuestos!$Q17*Supuestos!H17*Supuestos!$D17*Supuestos!H$7</f>
        <v/>
      </c>
      <c r="Q13" s="37">
        <f>P13-O13</f>
        <v/>
      </c>
      <c r="R13" s="43">
        <f>IF(O13=0,0,Q13/O13)</f>
        <v/>
      </c>
      <c r="S13" s="34">
        <f>Supuestos!$T17/Supuestos!$Q17*Supuestos!I17</f>
        <v/>
      </c>
      <c r="T13" s="34">
        <f>Supuestos!$C17/Supuestos!$Q17*Supuestos!I17*Supuestos!$D17*Supuestos!I$7</f>
        <v/>
      </c>
      <c r="U13" s="37">
        <f>T13-S13</f>
        <v/>
      </c>
      <c r="V13" s="43">
        <f>IF(S13=0,0,U13/S13)</f>
        <v/>
      </c>
      <c r="W13" s="34">
        <f>Supuestos!$T17/Supuestos!$Q17*Supuestos!J17</f>
        <v/>
      </c>
      <c r="X13" s="34">
        <f>Supuestos!$C17/Supuestos!$Q17*Supuestos!J17*Supuestos!$D17*Supuestos!J$7</f>
        <v/>
      </c>
      <c r="Y13" s="37">
        <f>X13-W13</f>
        <v/>
      </c>
      <c r="Z13" s="43">
        <f>IF(W13=0,0,Y13/W13)</f>
        <v/>
      </c>
      <c r="AA13" s="34">
        <f>Supuestos!$T17/Supuestos!$Q17*Supuestos!K17</f>
        <v/>
      </c>
      <c r="AB13" s="34">
        <f>Supuestos!$C17/Supuestos!$Q17*Supuestos!K17*Supuestos!$D17*Supuestos!K$7</f>
        <v/>
      </c>
      <c r="AC13" s="37">
        <f>AB13-AA13</f>
        <v/>
      </c>
      <c r="AD13" s="43">
        <f>IF(AA13=0,0,AC13/AA13)</f>
        <v/>
      </c>
      <c r="AE13" s="34">
        <f>Supuestos!$T17/Supuestos!$Q17*Supuestos!L17</f>
        <v/>
      </c>
      <c r="AF13" s="34">
        <f>Supuestos!$C17/Supuestos!$Q17*Supuestos!L17*Supuestos!$D17*Supuestos!L$7</f>
        <v/>
      </c>
      <c r="AG13" s="37">
        <f>AF13-AE13</f>
        <v/>
      </c>
      <c r="AH13" s="43">
        <f>IF(AE13=0,0,AG13/AE13)</f>
        <v/>
      </c>
      <c r="AI13" s="34">
        <f>Supuestos!$T17/Supuestos!$Q17*Supuestos!M17</f>
        <v/>
      </c>
      <c r="AJ13" s="34">
        <f>Supuestos!$C17/Supuestos!$Q17*Supuestos!M17*Supuestos!$D17*Supuestos!M$7</f>
        <v/>
      </c>
      <c r="AK13" s="37">
        <f>AJ13-AI13</f>
        <v/>
      </c>
      <c r="AL13" s="43">
        <f>IF(AI13=0,0,AK13/AI13)</f>
        <v/>
      </c>
      <c r="AM13" s="34">
        <f>Supuestos!$T17/Supuestos!$Q17*Supuestos!N17</f>
        <v/>
      </c>
      <c r="AN13" s="34">
        <f>Supuestos!$C17/Supuestos!$Q17*Supuestos!N17*Supuestos!$D17*Supuestos!N$7</f>
        <v/>
      </c>
      <c r="AO13" s="37">
        <f>AN13-AM13</f>
        <v/>
      </c>
      <c r="AP13" s="43">
        <f>IF(AM13=0,0,AO13/AM13)</f>
        <v/>
      </c>
      <c r="AQ13" s="34">
        <f>Supuestos!$T17/Supuestos!$Q17*Supuestos!O17</f>
        <v/>
      </c>
      <c r="AR13" s="34">
        <f>Supuestos!$C17/Supuestos!$Q17*Supuestos!O17*Supuestos!$D17*Supuestos!O$7</f>
        <v/>
      </c>
      <c r="AS13" s="37">
        <f>AR13-AQ13</f>
        <v/>
      </c>
      <c r="AT13" s="43">
        <f>IF(AQ13=0,0,AS13/AQ13)</f>
        <v/>
      </c>
      <c r="AU13" s="34">
        <f>Supuestos!$T17/Supuestos!$Q17*Supuestos!P17</f>
        <v/>
      </c>
      <c r="AV13" s="34">
        <f>Supuestos!$C17/Supuestos!$Q17*Supuestos!P17*Supuestos!$D17*Supuestos!P$7</f>
        <v/>
      </c>
      <c r="AW13" s="37">
        <f>AV13-AU13</f>
        <v/>
      </c>
      <c r="AX13" s="43">
        <f>IF(AU13=0,0,AW13/AU13)</f>
        <v/>
      </c>
      <c r="AY13" s="37">
        <f>C13+G13+K13+O13+S13+W13+AA13+AE13+AI13+AM13+AQ13+AU13</f>
        <v/>
      </c>
      <c r="AZ13" s="37">
        <f>D13+H13+L13+P13+T13+X13+AB13+AF13+AJ13+AN13+AR13+AV13</f>
        <v/>
      </c>
      <c r="BA13" s="37">
        <f>AZ13-AY13</f>
        <v/>
      </c>
      <c r="BB13" s="43">
        <f>IF(AY13=0,0,BA13/AY13)</f>
        <v/>
      </c>
    </row>
    <row r="14">
      <c r="A14" s="19" t="inlineStr">
        <is>
          <t>DELIVERY Y FIDELIZACIÓN — Total</t>
        </is>
      </c>
      <c r="B14" s="19" t="n"/>
      <c r="C14" s="20">
        <f>SUM(C15:C16)</f>
        <v/>
      </c>
      <c r="D14" s="20">
        <f>SUM(D15:D16)</f>
        <v/>
      </c>
      <c r="E14" s="20">
        <f>D14-C14</f>
        <v/>
      </c>
      <c r="F14" s="21">
        <f>IF(C14=0,0,E14/C14)</f>
        <v/>
      </c>
      <c r="G14" s="20">
        <f>SUM(G15:G16)</f>
        <v/>
      </c>
      <c r="H14" s="20">
        <f>SUM(H15:H16)</f>
        <v/>
      </c>
      <c r="I14" s="20">
        <f>H14-G14</f>
        <v/>
      </c>
      <c r="J14" s="21">
        <f>IF(G14=0,0,I14/G14)</f>
        <v/>
      </c>
      <c r="K14" s="20">
        <f>SUM(K15:K16)</f>
        <v/>
      </c>
      <c r="L14" s="20">
        <f>SUM(L15:L16)</f>
        <v/>
      </c>
      <c r="M14" s="20">
        <f>L14-K14</f>
        <v/>
      </c>
      <c r="N14" s="21">
        <f>IF(K14=0,0,M14/K14)</f>
        <v/>
      </c>
      <c r="O14" s="20">
        <f>SUM(O15:O16)</f>
        <v/>
      </c>
      <c r="P14" s="20">
        <f>SUM(P15:P16)</f>
        <v/>
      </c>
      <c r="Q14" s="20">
        <f>P14-O14</f>
        <v/>
      </c>
      <c r="R14" s="21">
        <f>IF(O14=0,0,Q14/O14)</f>
        <v/>
      </c>
      <c r="S14" s="20">
        <f>SUM(S15:S16)</f>
        <v/>
      </c>
      <c r="T14" s="20">
        <f>SUM(T15:T16)</f>
        <v/>
      </c>
      <c r="U14" s="20">
        <f>T14-S14</f>
        <v/>
      </c>
      <c r="V14" s="21">
        <f>IF(S14=0,0,U14/S14)</f>
        <v/>
      </c>
      <c r="W14" s="20">
        <f>SUM(W15:W16)</f>
        <v/>
      </c>
      <c r="X14" s="20">
        <f>SUM(X15:X16)</f>
        <v/>
      </c>
      <c r="Y14" s="20">
        <f>X14-W14</f>
        <v/>
      </c>
      <c r="Z14" s="21">
        <f>IF(W14=0,0,Y14/W14)</f>
        <v/>
      </c>
      <c r="AA14" s="20">
        <f>SUM(AA15:AA16)</f>
        <v/>
      </c>
      <c r="AB14" s="20">
        <f>SUM(AB15:AB16)</f>
        <v/>
      </c>
      <c r="AC14" s="20">
        <f>AB14-AA14</f>
        <v/>
      </c>
      <c r="AD14" s="21">
        <f>IF(AA14=0,0,AC14/AA14)</f>
        <v/>
      </c>
      <c r="AE14" s="20">
        <f>SUM(AE15:AE16)</f>
        <v/>
      </c>
      <c r="AF14" s="20">
        <f>SUM(AF15:AF16)</f>
        <v/>
      </c>
      <c r="AG14" s="20">
        <f>AF14-AE14</f>
        <v/>
      </c>
      <c r="AH14" s="21">
        <f>IF(AE14=0,0,AG14/AE14)</f>
        <v/>
      </c>
      <c r="AI14" s="20">
        <f>SUM(AI15:AI16)</f>
        <v/>
      </c>
      <c r="AJ14" s="20">
        <f>SUM(AJ15:AJ16)</f>
        <v/>
      </c>
      <c r="AK14" s="20">
        <f>AJ14-AI14</f>
        <v/>
      </c>
      <c r="AL14" s="21">
        <f>IF(AI14=0,0,AK14/AI14)</f>
        <v/>
      </c>
      <c r="AM14" s="20">
        <f>SUM(AM15:AM16)</f>
        <v/>
      </c>
      <c r="AN14" s="20">
        <f>SUM(AN15:AN16)</f>
        <v/>
      </c>
      <c r="AO14" s="20">
        <f>AN14-AM14</f>
        <v/>
      </c>
      <c r="AP14" s="21">
        <f>IF(AM14=0,0,AO14/AM14)</f>
        <v/>
      </c>
      <c r="AQ14" s="20">
        <f>SUM(AQ15:AQ16)</f>
        <v/>
      </c>
      <c r="AR14" s="20">
        <f>SUM(AR15:AR16)</f>
        <v/>
      </c>
      <c r="AS14" s="20">
        <f>AR14-AQ14</f>
        <v/>
      </c>
      <c r="AT14" s="21">
        <f>IF(AQ14=0,0,AS14/AQ14)</f>
        <v/>
      </c>
      <c r="AU14" s="20">
        <f>SUM(AU15:AU16)</f>
        <v/>
      </c>
      <c r="AV14" s="20">
        <f>SUM(AV15:AV16)</f>
        <v/>
      </c>
      <c r="AW14" s="20">
        <f>AV14-AU14</f>
        <v/>
      </c>
      <c r="AX14" s="21">
        <f>IF(AU14=0,0,AW14/AU14)</f>
        <v/>
      </c>
      <c r="AY14" s="20">
        <f>C14+G14+K14+O14+S14+W14+AA14+AE14+AI14+AM14+AQ14+AU14</f>
        <v/>
      </c>
      <c r="AZ14" s="20">
        <f>D14+H14+L14+P14+T14+X14+AB14+AF14+AJ14+AN14+AR14+AV14</f>
        <v/>
      </c>
      <c r="BA14" s="20">
        <f>AZ14-AY14</f>
        <v/>
      </c>
      <c r="BB14" s="21">
        <f>IF(AY14=0,0,BA14/AY14)</f>
        <v/>
      </c>
    </row>
    <row r="15">
      <c r="A15" s="2" t="inlineStr">
        <is>
          <t>DELIVERY Y FIDELIZACIÓN</t>
        </is>
      </c>
      <c r="B15" s="27">
        <f>Supuestos!B18</f>
        <v/>
      </c>
      <c r="C15" s="34">
        <f>Supuestos!$T18/Supuestos!$Q18*Supuestos!E18</f>
        <v/>
      </c>
      <c r="D15" s="34">
        <f>Supuestos!$C18/Supuestos!$Q18*Supuestos!E18*Supuestos!$D18*Supuestos!E$7</f>
        <v/>
      </c>
      <c r="E15" s="37">
        <f>D15-C15</f>
        <v/>
      </c>
      <c r="F15" s="43">
        <f>IF(C15=0,0,E15/C15)</f>
        <v/>
      </c>
      <c r="G15" s="34">
        <f>Supuestos!$T18/Supuestos!$Q18*Supuestos!F18</f>
        <v/>
      </c>
      <c r="H15" s="34">
        <f>Supuestos!$C18/Supuestos!$Q18*Supuestos!F18*Supuestos!$D18*Supuestos!F$7</f>
        <v/>
      </c>
      <c r="I15" s="37">
        <f>H15-G15</f>
        <v/>
      </c>
      <c r="J15" s="43">
        <f>IF(G15=0,0,I15/G15)</f>
        <v/>
      </c>
      <c r="K15" s="34">
        <f>Supuestos!$T18/Supuestos!$Q18*Supuestos!G18</f>
        <v/>
      </c>
      <c r="L15" s="34">
        <f>Supuestos!$C18/Supuestos!$Q18*Supuestos!G18*Supuestos!$D18*Supuestos!G$7</f>
        <v/>
      </c>
      <c r="M15" s="37">
        <f>L15-K15</f>
        <v/>
      </c>
      <c r="N15" s="43">
        <f>IF(K15=0,0,M15/K15)</f>
        <v/>
      </c>
      <c r="O15" s="34">
        <f>Supuestos!$T18/Supuestos!$Q18*Supuestos!H18</f>
        <v/>
      </c>
      <c r="P15" s="34">
        <f>Supuestos!$C18/Supuestos!$Q18*Supuestos!H18*Supuestos!$D18*Supuestos!H$7</f>
        <v/>
      </c>
      <c r="Q15" s="37">
        <f>P15-O15</f>
        <v/>
      </c>
      <c r="R15" s="43">
        <f>IF(O15=0,0,Q15/O15)</f>
        <v/>
      </c>
      <c r="S15" s="34">
        <f>Supuestos!$T18/Supuestos!$Q18*Supuestos!I18</f>
        <v/>
      </c>
      <c r="T15" s="34">
        <f>Supuestos!$C18/Supuestos!$Q18*Supuestos!I18*Supuestos!$D18*Supuestos!I$7</f>
        <v/>
      </c>
      <c r="U15" s="37">
        <f>T15-S15</f>
        <v/>
      </c>
      <c r="V15" s="43">
        <f>IF(S15=0,0,U15/S15)</f>
        <v/>
      </c>
      <c r="W15" s="34">
        <f>Supuestos!$T18/Supuestos!$Q18*Supuestos!J18</f>
        <v/>
      </c>
      <c r="X15" s="34">
        <f>Supuestos!$C18/Supuestos!$Q18*Supuestos!J18*Supuestos!$D18*Supuestos!J$7</f>
        <v/>
      </c>
      <c r="Y15" s="37">
        <f>X15-W15</f>
        <v/>
      </c>
      <c r="Z15" s="43">
        <f>IF(W15=0,0,Y15/W15)</f>
        <v/>
      </c>
      <c r="AA15" s="34">
        <f>Supuestos!$T18/Supuestos!$Q18*Supuestos!K18</f>
        <v/>
      </c>
      <c r="AB15" s="34">
        <f>Supuestos!$C18/Supuestos!$Q18*Supuestos!K18*Supuestos!$D18*Supuestos!K$7</f>
        <v/>
      </c>
      <c r="AC15" s="37">
        <f>AB15-AA15</f>
        <v/>
      </c>
      <c r="AD15" s="43">
        <f>IF(AA15=0,0,AC15/AA15)</f>
        <v/>
      </c>
      <c r="AE15" s="34">
        <f>Supuestos!$T18/Supuestos!$Q18*Supuestos!L18</f>
        <v/>
      </c>
      <c r="AF15" s="34">
        <f>Supuestos!$C18/Supuestos!$Q18*Supuestos!L18*Supuestos!$D18*Supuestos!L$7</f>
        <v/>
      </c>
      <c r="AG15" s="37">
        <f>AF15-AE15</f>
        <v/>
      </c>
      <c r="AH15" s="43">
        <f>IF(AE15=0,0,AG15/AE15)</f>
        <v/>
      </c>
      <c r="AI15" s="34">
        <f>Supuestos!$T18/Supuestos!$Q18*Supuestos!M18</f>
        <v/>
      </c>
      <c r="AJ15" s="34">
        <f>Supuestos!$C18/Supuestos!$Q18*Supuestos!M18*Supuestos!$D18*Supuestos!M$7</f>
        <v/>
      </c>
      <c r="AK15" s="37">
        <f>AJ15-AI15</f>
        <v/>
      </c>
      <c r="AL15" s="43">
        <f>IF(AI15=0,0,AK15/AI15)</f>
        <v/>
      </c>
      <c r="AM15" s="34">
        <f>Supuestos!$T18/Supuestos!$Q18*Supuestos!N18</f>
        <v/>
      </c>
      <c r="AN15" s="34">
        <f>Supuestos!$C18/Supuestos!$Q18*Supuestos!N18*Supuestos!$D18*Supuestos!N$7</f>
        <v/>
      </c>
      <c r="AO15" s="37">
        <f>AN15-AM15</f>
        <v/>
      </c>
      <c r="AP15" s="43">
        <f>IF(AM15=0,0,AO15/AM15)</f>
        <v/>
      </c>
      <c r="AQ15" s="34">
        <f>Supuestos!$T18/Supuestos!$Q18*Supuestos!O18</f>
        <v/>
      </c>
      <c r="AR15" s="34">
        <f>Supuestos!$C18/Supuestos!$Q18*Supuestos!O18*Supuestos!$D18*Supuestos!O$7</f>
        <v/>
      </c>
      <c r="AS15" s="37">
        <f>AR15-AQ15</f>
        <v/>
      </c>
      <c r="AT15" s="43">
        <f>IF(AQ15=0,0,AS15/AQ15)</f>
        <v/>
      </c>
      <c r="AU15" s="34">
        <f>Supuestos!$T18/Supuestos!$Q18*Supuestos!P18</f>
        <v/>
      </c>
      <c r="AV15" s="34">
        <f>Supuestos!$C18/Supuestos!$Q18*Supuestos!P18*Supuestos!$D18*Supuestos!P$7</f>
        <v/>
      </c>
      <c r="AW15" s="37">
        <f>AV15-AU15</f>
        <v/>
      </c>
      <c r="AX15" s="43">
        <f>IF(AU15=0,0,AW15/AU15)</f>
        <v/>
      </c>
      <c r="AY15" s="37">
        <f>C15+G15+K15+O15+S15+W15+AA15+AE15+AI15+AM15+AQ15+AU15</f>
        <v/>
      </c>
      <c r="AZ15" s="37">
        <f>D15+H15+L15+P15+T15+X15+AB15+AF15+AJ15+AN15+AR15+AV15</f>
        <v/>
      </c>
      <c r="BA15" s="37">
        <f>AZ15-AY15</f>
        <v/>
      </c>
      <c r="BB15" s="43">
        <f>IF(AY15=0,0,BA15/AY15)</f>
        <v/>
      </c>
    </row>
    <row r="16">
      <c r="A16" s="2" t="inlineStr">
        <is>
          <t>DELIVERY Y FIDELIZACIÓN</t>
        </is>
      </c>
      <c r="B16" s="27">
        <f>Supuestos!B19</f>
        <v/>
      </c>
      <c r="C16" s="34">
        <f>Supuestos!$T19/Supuestos!$Q19*Supuestos!E19</f>
        <v/>
      </c>
      <c r="D16" s="34">
        <f>Supuestos!$C19/Supuestos!$Q19*Supuestos!E19*Supuestos!$D19*Supuestos!E$7</f>
        <v/>
      </c>
      <c r="E16" s="37">
        <f>D16-C16</f>
        <v/>
      </c>
      <c r="F16" s="43">
        <f>IF(C16=0,0,E16/C16)</f>
        <v/>
      </c>
      <c r="G16" s="34">
        <f>Supuestos!$T19/Supuestos!$Q19*Supuestos!F19</f>
        <v/>
      </c>
      <c r="H16" s="34">
        <f>Supuestos!$C19/Supuestos!$Q19*Supuestos!F19*Supuestos!$D19*Supuestos!F$7</f>
        <v/>
      </c>
      <c r="I16" s="37">
        <f>H16-G16</f>
        <v/>
      </c>
      <c r="J16" s="43">
        <f>IF(G16=0,0,I16/G16)</f>
        <v/>
      </c>
      <c r="K16" s="34">
        <f>Supuestos!$T19/Supuestos!$Q19*Supuestos!G19</f>
        <v/>
      </c>
      <c r="L16" s="34">
        <f>Supuestos!$C19/Supuestos!$Q19*Supuestos!G19*Supuestos!$D19*Supuestos!G$7</f>
        <v/>
      </c>
      <c r="M16" s="37">
        <f>L16-K16</f>
        <v/>
      </c>
      <c r="N16" s="43">
        <f>IF(K16=0,0,M16/K16)</f>
        <v/>
      </c>
      <c r="O16" s="34">
        <f>Supuestos!$T19/Supuestos!$Q19*Supuestos!H19</f>
        <v/>
      </c>
      <c r="P16" s="34">
        <f>Supuestos!$C19/Supuestos!$Q19*Supuestos!H19*Supuestos!$D19*Supuestos!H$7</f>
        <v/>
      </c>
      <c r="Q16" s="37">
        <f>P16-O16</f>
        <v/>
      </c>
      <c r="R16" s="43">
        <f>IF(O16=0,0,Q16/O16)</f>
        <v/>
      </c>
      <c r="S16" s="34">
        <f>Supuestos!$T19/Supuestos!$Q19*Supuestos!I19</f>
        <v/>
      </c>
      <c r="T16" s="34">
        <f>Supuestos!$C19/Supuestos!$Q19*Supuestos!I19*Supuestos!$D19*Supuestos!I$7</f>
        <v/>
      </c>
      <c r="U16" s="37">
        <f>T16-S16</f>
        <v/>
      </c>
      <c r="V16" s="43">
        <f>IF(S16=0,0,U16/S16)</f>
        <v/>
      </c>
      <c r="W16" s="34">
        <f>Supuestos!$T19/Supuestos!$Q19*Supuestos!J19</f>
        <v/>
      </c>
      <c r="X16" s="34">
        <f>Supuestos!$C19/Supuestos!$Q19*Supuestos!J19*Supuestos!$D19*Supuestos!J$7</f>
        <v/>
      </c>
      <c r="Y16" s="37">
        <f>X16-W16</f>
        <v/>
      </c>
      <c r="Z16" s="43">
        <f>IF(W16=0,0,Y16/W16)</f>
        <v/>
      </c>
      <c r="AA16" s="34">
        <f>Supuestos!$T19/Supuestos!$Q19*Supuestos!K19</f>
        <v/>
      </c>
      <c r="AB16" s="34">
        <f>Supuestos!$C19/Supuestos!$Q19*Supuestos!K19*Supuestos!$D19*Supuestos!K$7</f>
        <v/>
      </c>
      <c r="AC16" s="37">
        <f>AB16-AA16</f>
        <v/>
      </c>
      <c r="AD16" s="43">
        <f>IF(AA16=0,0,AC16/AA16)</f>
        <v/>
      </c>
      <c r="AE16" s="34">
        <f>Supuestos!$T19/Supuestos!$Q19*Supuestos!L19</f>
        <v/>
      </c>
      <c r="AF16" s="34">
        <f>Supuestos!$C19/Supuestos!$Q19*Supuestos!L19*Supuestos!$D19*Supuestos!L$7</f>
        <v/>
      </c>
      <c r="AG16" s="37">
        <f>AF16-AE16</f>
        <v/>
      </c>
      <c r="AH16" s="43">
        <f>IF(AE16=0,0,AG16/AE16)</f>
        <v/>
      </c>
      <c r="AI16" s="34">
        <f>Supuestos!$T19/Supuestos!$Q19*Supuestos!M19</f>
        <v/>
      </c>
      <c r="AJ16" s="34">
        <f>Supuestos!$C19/Supuestos!$Q19*Supuestos!M19*Supuestos!$D19*Supuestos!M$7</f>
        <v/>
      </c>
      <c r="AK16" s="37">
        <f>AJ16-AI16</f>
        <v/>
      </c>
      <c r="AL16" s="43">
        <f>IF(AI16=0,0,AK16/AI16)</f>
        <v/>
      </c>
      <c r="AM16" s="34">
        <f>Supuestos!$T19/Supuestos!$Q19*Supuestos!N19</f>
        <v/>
      </c>
      <c r="AN16" s="34">
        <f>Supuestos!$C19/Supuestos!$Q19*Supuestos!N19*Supuestos!$D19*Supuestos!N$7</f>
        <v/>
      </c>
      <c r="AO16" s="37">
        <f>AN16-AM16</f>
        <v/>
      </c>
      <c r="AP16" s="43">
        <f>IF(AM16=0,0,AO16/AM16)</f>
        <v/>
      </c>
      <c r="AQ16" s="34">
        <f>Supuestos!$T19/Supuestos!$Q19*Supuestos!O19</f>
        <v/>
      </c>
      <c r="AR16" s="34">
        <f>Supuestos!$C19/Supuestos!$Q19*Supuestos!O19*Supuestos!$D19*Supuestos!O$7</f>
        <v/>
      </c>
      <c r="AS16" s="37">
        <f>AR16-AQ16</f>
        <v/>
      </c>
      <c r="AT16" s="43">
        <f>IF(AQ16=0,0,AS16/AQ16)</f>
        <v/>
      </c>
      <c r="AU16" s="34">
        <f>Supuestos!$T19/Supuestos!$Q19*Supuestos!P19</f>
        <v/>
      </c>
      <c r="AV16" s="34">
        <f>Supuestos!$C19/Supuestos!$Q19*Supuestos!P19*Supuestos!$D19*Supuestos!P$7</f>
        <v/>
      </c>
      <c r="AW16" s="37">
        <f>AV16-AU16</f>
        <v/>
      </c>
      <c r="AX16" s="43">
        <f>IF(AU16=0,0,AW16/AU16)</f>
        <v/>
      </c>
      <c r="AY16" s="37">
        <f>C16+G16+K16+O16+S16+W16+AA16+AE16+AI16+AM16+AQ16+AU16</f>
        <v/>
      </c>
      <c r="AZ16" s="37">
        <f>D16+H16+L16+P16+T16+X16+AB16+AF16+AJ16+AN16+AR16+AV16</f>
        <v/>
      </c>
      <c r="BA16" s="37">
        <f>AZ16-AY16</f>
        <v/>
      </c>
      <c r="BB16" s="43">
        <f>IF(AY16=0,0,BA16/AY16)</f>
        <v/>
      </c>
    </row>
    <row r="17">
      <c r="A17" s="19" t="inlineStr">
        <is>
          <t>FECHAS ESPECIALES — Total</t>
        </is>
      </c>
      <c r="B17" s="19" t="n"/>
      <c r="C17" s="20">
        <f>SUM(C18:C19)</f>
        <v/>
      </c>
      <c r="D17" s="20">
        <f>SUM(D18:D19)</f>
        <v/>
      </c>
      <c r="E17" s="20">
        <f>D17-C17</f>
        <v/>
      </c>
      <c r="F17" s="21">
        <f>IF(C17=0,0,E17/C17)</f>
        <v/>
      </c>
      <c r="G17" s="20">
        <f>SUM(G18:G19)</f>
        <v/>
      </c>
      <c r="H17" s="20">
        <f>SUM(H18:H19)</f>
        <v/>
      </c>
      <c r="I17" s="20">
        <f>H17-G17</f>
        <v/>
      </c>
      <c r="J17" s="21">
        <f>IF(G17=0,0,I17/G17)</f>
        <v/>
      </c>
      <c r="K17" s="20">
        <f>SUM(K18:K19)</f>
        <v/>
      </c>
      <c r="L17" s="20">
        <f>SUM(L18:L19)</f>
        <v/>
      </c>
      <c r="M17" s="20">
        <f>L17-K17</f>
        <v/>
      </c>
      <c r="N17" s="21">
        <f>IF(K17=0,0,M17/K17)</f>
        <v/>
      </c>
      <c r="O17" s="20">
        <f>SUM(O18:O19)</f>
        <v/>
      </c>
      <c r="P17" s="20">
        <f>SUM(P18:P19)</f>
        <v/>
      </c>
      <c r="Q17" s="20">
        <f>P17-O17</f>
        <v/>
      </c>
      <c r="R17" s="21">
        <f>IF(O17=0,0,Q17/O17)</f>
        <v/>
      </c>
      <c r="S17" s="20">
        <f>SUM(S18:S19)</f>
        <v/>
      </c>
      <c r="T17" s="20">
        <f>SUM(T18:T19)</f>
        <v/>
      </c>
      <c r="U17" s="20">
        <f>T17-S17</f>
        <v/>
      </c>
      <c r="V17" s="21">
        <f>IF(S17=0,0,U17/S17)</f>
        <v/>
      </c>
      <c r="W17" s="20">
        <f>SUM(W18:W19)</f>
        <v/>
      </c>
      <c r="X17" s="20">
        <f>SUM(X18:X19)</f>
        <v/>
      </c>
      <c r="Y17" s="20">
        <f>X17-W17</f>
        <v/>
      </c>
      <c r="Z17" s="21">
        <f>IF(W17=0,0,Y17/W17)</f>
        <v/>
      </c>
      <c r="AA17" s="20">
        <f>SUM(AA18:AA19)</f>
        <v/>
      </c>
      <c r="AB17" s="20">
        <f>SUM(AB18:AB19)</f>
        <v/>
      </c>
      <c r="AC17" s="20">
        <f>AB17-AA17</f>
        <v/>
      </c>
      <c r="AD17" s="21">
        <f>IF(AA17=0,0,AC17/AA17)</f>
        <v/>
      </c>
      <c r="AE17" s="20">
        <f>SUM(AE18:AE19)</f>
        <v/>
      </c>
      <c r="AF17" s="20">
        <f>SUM(AF18:AF19)</f>
        <v/>
      </c>
      <c r="AG17" s="20">
        <f>AF17-AE17</f>
        <v/>
      </c>
      <c r="AH17" s="21">
        <f>IF(AE17=0,0,AG17/AE17)</f>
        <v/>
      </c>
      <c r="AI17" s="20">
        <f>SUM(AI18:AI19)</f>
        <v/>
      </c>
      <c r="AJ17" s="20">
        <f>SUM(AJ18:AJ19)</f>
        <v/>
      </c>
      <c r="AK17" s="20">
        <f>AJ17-AI17</f>
        <v/>
      </c>
      <c r="AL17" s="21">
        <f>IF(AI17=0,0,AK17/AI17)</f>
        <v/>
      </c>
      <c r="AM17" s="20">
        <f>SUM(AM18:AM19)</f>
        <v/>
      </c>
      <c r="AN17" s="20">
        <f>SUM(AN18:AN19)</f>
        <v/>
      </c>
      <c r="AO17" s="20">
        <f>AN17-AM17</f>
        <v/>
      </c>
      <c r="AP17" s="21">
        <f>IF(AM17=0,0,AO17/AM17)</f>
        <v/>
      </c>
      <c r="AQ17" s="20">
        <f>SUM(AQ18:AQ19)</f>
        <v/>
      </c>
      <c r="AR17" s="20">
        <f>SUM(AR18:AR19)</f>
        <v/>
      </c>
      <c r="AS17" s="20">
        <f>AR17-AQ17</f>
        <v/>
      </c>
      <c r="AT17" s="21">
        <f>IF(AQ17=0,0,AS17/AQ17)</f>
        <v/>
      </c>
      <c r="AU17" s="20">
        <f>SUM(AU18:AU19)</f>
        <v/>
      </c>
      <c r="AV17" s="20">
        <f>SUM(AV18:AV19)</f>
        <v/>
      </c>
      <c r="AW17" s="20">
        <f>AV17-AU17</f>
        <v/>
      </c>
      <c r="AX17" s="21">
        <f>IF(AU17=0,0,AW17/AU17)</f>
        <v/>
      </c>
      <c r="AY17" s="20">
        <f>C17+G17+K17+O17+S17+W17+AA17+AE17+AI17+AM17+AQ17+AU17</f>
        <v/>
      </c>
      <c r="AZ17" s="20">
        <f>D17+H17+L17+P17+T17+X17+AB17+AF17+AJ17+AN17+AR17+AV17</f>
        <v/>
      </c>
      <c r="BA17" s="20">
        <f>AZ17-AY17</f>
        <v/>
      </c>
      <c r="BB17" s="21">
        <f>IF(AY17=0,0,BA17/AY17)</f>
        <v/>
      </c>
    </row>
    <row r="18">
      <c r="A18" s="2" t="inlineStr">
        <is>
          <t>FECHAS ESPECIALES</t>
        </is>
      </c>
      <c r="B18" s="27">
        <f>Supuestos!B20</f>
        <v/>
      </c>
      <c r="C18" s="34">
        <f>Supuestos!$T20/Supuestos!$Q20*Supuestos!E20</f>
        <v/>
      </c>
      <c r="D18" s="34">
        <f>Supuestos!$C20/Supuestos!$Q20*Supuestos!E20*Supuestos!$D20*Supuestos!E$7</f>
        <v/>
      </c>
      <c r="E18" s="37">
        <f>D18-C18</f>
        <v/>
      </c>
      <c r="F18" s="43">
        <f>IF(C18=0,0,E18/C18)</f>
        <v/>
      </c>
      <c r="G18" s="34">
        <f>Supuestos!$T20/Supuestos!$Q20*Supuestos!F20</f>
        <v/>
      </c>
      <c r="H18" s="34">
        <f>Supuestos!$C20/Supuestos!$Q20*Supuestos!F20*Supuestos!$D20*Supuestos!F$7</f>
        <v/>
      </c>
      <c r="I18" s="37">
        <f>H18-G18</f>
        <v/>
      </c>
      <c r="J18" s="43">
        <f>IF(G18=0,0,I18/G18)</f>
        <v/>
      </c>
      <c r="K18" s="34">
        <f>Supuestos!$T20/Supuestos!$Q20*Supuestos!G20</f>
        <v/>
      </c>
      <c r="L18" s="34">
        <f>Supuestos!$C20/Supuestos!$Q20*Supuestos!G20*Supuestos!$D20*Supuestos!G$7</f>
        <v/>
      </c>
      <c r="M18" s="37">
        <f>L18-K18</f>
        <v/>
      </c>
      <c r="N18" s="43">
        <f>IF(K18=0,0,M18/K18)</f>
        <v/>
      </c>
      <c r="O18" s="34">
        <f>Supuestos!$T20/Supuestos!$Q20*Supuestos!H20</f>
        <v/>
      </c>
      <c r="P18" s="34">
        <f>Supuestos!$C20/Supuestos!$Q20*Supuestos!H20*Supuestos!$D20*Supuestos!H$7</f>
        <v/>
      </c>
      <c r="Q18" s="37">
        <f>P18-O18</f>
        <v/>
      </c>
      <c r="R18" s="43">
        <f>IF(O18=0,0,Q18/O18)</f>
        <v/>
      </c>
      <c r="S18" s="34">
        <f>Supuestos!$T20/Supuestos!$Q20*Supuestos!I20</f>
        <v/>
      </c>
      <c r="T18" s="34">
        <f>Supuestos!$C20/Supuestos!$Q20*Supuestos!I20*Supuestos!$D20*Supuestos!I$7</f>
        <v/>
      </c>
      <c r="U18" s="37">
        <f>T18-S18</f>
        <v/>
      </c>
      <c r="V18" s="43">
        <f>IF(S18=0,0,U18/S18)</f>
        <v/>
      </c>
      <c r="W18" s="34">
        <f>Supuestos!$T20/Supuestos!$Q20*Supuestos!J20</f>
        <v/>
      </c>
      <c r="X18" s="34">
        <f>Supuestos!$C20/Supuestos!$Q20*Supuestos!J20*Supuestos!$D20*Supuestos!J$7</f>
        <v/>
      </c>
      <c r="Y18" s="37">
        <f>X18-W18</f>
        <v/>
      </c>
      <c r="Z18" s="43">
        <f>IF(W18=0,0,Y18/W18)</f>
        <v/>
      </c>
      <c r="AA18" s="34">
        <f>Supuestos!$T20/Supuestos!$Q20*Supuestos!K20</f>
        <v/>
      </c>
      <c r="AB18" s="34">
        <f>Supuestos!$C20/Supuestos!$Q20*Supuestos!K20*Supuestos!$D20*Supuestos!K$7</f>
        <v/>
      </c>
      <c r="AC18" s="37">
        <f>AB18-AA18</f>
        <v/>
      </c>
      <c r="AD18" s="43">
        <f>IF(AA18=0,0,AC18/AA18)</f>
        <v/>
      </c>
      <c r="AE18" s="34">
        <f>Supuestos!$T20/Supuestos!$Q20*Supuestos!L20</f>
        <v/>
      </c>
      <c r="AF18" s="34">
        <f>Supuestos!$C20/Supuestos!$Q20*Supuestos!L20*Supuestos!$D20*Supuestos!L$7</f>
        <v/>
      </c>
      <c r="AG18" s="37">
        <f>AF18-AE18</f>
        <v/>
      </c>
      <c r="AH18" s="43">
        <f>IF(AE18=0,0,AG18/AE18)</f>
        <v/>
      </c>
      <c r="AI18" s="34">
        <f>Supuestos!$T20/Supuestos!$Q20*Supuestos!M20</f>
        <v/>
      </c>
      <c r="AJ18" s="34">
        <f>Supuestos!$C20/Supuestos!$Q20*Supuestos!M20*Supuestos!$D20*Supuestos!M$7</f>
        <v/>
      </c>
      <c r="AK18" s="37">
        <f>AJ18-AI18</f>
        <v/>
      </c>
      <c r="AL18" s="43">
        <f>IF(AI18=0,0,AK18/AI18)</f>
        <v/>
      </c>
      <c r="AM18" s="34">
        <f>Supuestos!$T20/Supuestos!$Q20*Supuestos!N20</f>
        <v/>
      </c>
      <c r="AN18" s="34">
        <f>Supuestos!$C20/Supuestos!$Q20*Supuestos!N20*Supuestos!$D20*Supuestos!N$7</f>
        <v/>
      </c>
      <c r="AO18" s="37">
        <f>AN18-AM18</f>
        <v/>
      </c>
      <c r="AP18" s="43">
        <f>IF(AM18=0,0,AO18/AM18)</f>
        <v/>
      </c>
      <c r="AQ18" s="34">
        <f>Supuestos!$T20/Supuestos!$Q20*Supuestos!O20</f>
        <v/>
      </c>
      <c r="AR18" s="34">
        <f>Supuestos!$C20/Supuestos!$Q20*Supuestos!O20*Supuestos!$D20*Supuestos!O$7</f>
        <v/>
      </c>
      <c r="AS18" s="37">
        <f>AR18-AQ18</f>
        <v/>
      </c>
      <c r="AT18" s="43">
        <f>IF(AQ18=0,0,AS18/AQ18)</f>
        <v/>
      </c>
      <c r="AU18" s="34">
        <f>Supuestos!$T20/Supuestos!$Q20*Supuestos!P20</f>
        <v/>
      </c>
      <c r="AV18" s="34">
        <f>Supuestos!$C20/Supuestos!$Q20*Supuestos!P20*Supuestos!$D20*Supuestos!P$7</f>
        <v/>
      </c>
      <c r="AW18" s="37">
        <f>AV18-AU18</f>
        <v/>
      </c>
      <c r="AX18" s="43">
        <f>IF(AU18=0,0,AW18/AU18)</f>
        <v/>
      </c>
      <c r="AY18" s="37">
        <f>C18+G18+K18+O18+S18+W18+AA18+AE18+AI18+AM18+AQ18+AU18</f>
        <v/>
      </c>
      <c r="AZ18" s="37">
        <f>D18+H18+L18+P18+T18+X18+AB18+AF18+AJ18+AN18+AR18+AV18</f>
        <v/>
      </c>
      <c r="BA18" s="37">
        <f>AZ18-AY18</f>
        <v/>
      </c>
      <c r="BB18" s="43">
        <f>IF(AY18=0,0,BA18/AY18)</f>
        <v/>
      </c>
    </row>
    <row r="19">
      <c r="A19" s="2" t="inlineStr">
        <is>
          <t>FECHAS ESPECIALES</t>
        </is>
      </c>
      <c r="B19" s="27">
        <f>Supuestos!B21</f>
        <v/>
      </c>
      <c r="C19" s="34">
        <f>Supuestos!$T21/Supuestos!$Q21*Supuestos!E21</f>
        <v/>
      </c>
      <c r="D19" s="34">
        <f>Supuestos!$C21/Supuestos!$Q21*Supuestos!E21*Supuestos!$D21*Supuestos!E$7</f>
        <v/>
      </c>
      <c r="E19" s="37">
        <f>D19-C19</f>
        <v/>
      </c>
      <c r="F19" s="43">
        <f>IF(C19=0,0,E19/C19)</f>
        <v/>
      </c>
      <c r="G19" s="34">
        <f>Supuestos!$T21/Supuestos!$Q21*Supuestos!F21</f>
        <v/>
      </c>
      <c r="H19" s="34">
        <f>Supuestos!$C21/Supuestos!$Q21*Supuestos!F21*Supuestos!$D21*Supuestos!F$7</f>
        <v/>
      </c>
      <c r="I19" s="37">
        <f>H19-G19</f>
        <v/>
      </c>
      <c r="J19" s="43">
        <f>IF(G19=0,0,I19/G19)</f>
        <v/>
      </c>
      <c r="K19" s="34">
        <f>Supuestos!$T21/Supuestos!$Q21*Supuestos!G21</f>
        <v/>
      </c>
      <c r="L19" s="34">
        <f>Supuestos!$C21/Supuestos!$Q21*Supuestos!G21*Supuestos!$D21*Supuestos!G$7</f>
        <v/>
      </c>
      <c r="M19" s="37">
        <f>L19-K19</f>
        <v/>
      </c>
      <c r="N19" s="43">
        <f>IF(K19=0,0,M19/K19)</f>
        <v/>
      </c>
      <c r="O19" s="34">
        <f>Supuestos!$T21/Supuestos!$Q21*Supuestos!H21</f>
        <v/>
      </c>
      <c r="P19" s="34">
        <f>Supuestos!$C21/Supuestos!$Q21*Supuestos!H21*Supuestos!$D21*Supuestos!H$7</f>
        <v/>
      </c>
      <c r="Q19" s="37">
        <f>P19-O19</f>
        <v/>
      </c>
      <c r="R19" s="43">
        <f>IF(O19=0,0,Q19/O19)</f>
        <v/>
      </c>
      <c r="S19" s="34">
        <f>Supuestos!$T21/Supuestos!$Q21*Supuestos!I21</f>
        <v/>
      </c>
      <c r="T19" s="34">
        <f>Supuestos!$C21/Supuestos!$Q21*Supuestos!I21*Supuestos!$D21*Supuestos!I$7</f>
        <v/>
      </c>
      <c r="U19" s="37">
        <f>T19-S19</f>
        <v/>
      </c>
      <c r="V19" s="43">
        <f>IF(S19=0,0,U19/S19)</f>
        <v/>
      </c>
      <c r="W19" s="34">
        <f>Supuestos!$T21/Supuestos!$Q21*Supuestos!J21</f>
        <v/>
      </c>
      <c r="X19" s="34">
        <f>Supuestos!$C21/Supuestos!$Q21*Supuestos!J21*Supuestos!$D21*Supuestos!J$7</f>
        <v/>
      </c>
      <c r="Y19" s="37">
        <f>X19-W19</f>
        <v/>
      </c>
      <c r="Z19" s="43">
        <f>IF(W19=0,0,Y19/W19)</f>
        <v/>
      </c>
      <c r="AA19" s="34">
        <f>Supuestos!$T21/Supuestos!$Q21*Supuestos!K21</f>
        <v/>
      </c>
      <c r="AB19" s="34">
        <f>Supuestos!$C21/Supuestos!$Q21*Supuestos!K21*Supuestos!$D21*Supuestos!K$7</f>
        <v/>
      </c>
      <c r="AC19" s="37">
        <f>AB19-AA19</f>
        <v/>
      </c>
      <c r="AD19" s="43">
        <f>IF(AA19=0,0,AC19/AA19)</f>
        <v/>
      </c>
      <c r="AE19" s="34">
        <f>Supuestos!$T21/Supuestos!$Q21*Supuestos!L21</f>
        <v/>
      </c>
      <c r="AF19" s="34">
        <f>Supuestos!$C21/Supuestos!$Q21*Supuestos!L21*Supuestos!$D21*Supuestos!L$7</f>
        <v/>
      </c>
      <c r="AG19" s="37">
        <f>AF19-AE19</f>
        <v/>
      </c>
      <c r="AH19" s="43">
        <f>IF(AE19=0,0,AG19/AE19)</f>
        <v/>
      </c>
      <c r="AI19" s="34">
        <f>Supuestos!$T21/Supuestos!$Q21*Supuestos!M21</f>
        <v/>
      </c>
      <c r="AJ19" s="34">
        <f>Supuestos!$C21/Supuestos!$Q21*Supuestos!M21*Supuestos!$D21*Supuestos!M$7</f>
        <v/>
      </c>
      <c r="AK19" s="37">
        <f>AJ19-AI19</f>
        <v/>
      </c>
      <c r="AL19" s="43">
        <f>IF(AI19=0,0,AK19/AI19)</f>
        <v/>
      </c>
      <c r="AM19" s="34">
        <f>Supuestos!$T21/Supuestos!$Q21*Supuestos!N21</f>
        <v/>
      </c>
      <c r="AN19" s="34">
        <f>Supuestos!$C21/Supuestos!$Q21*Supuestos!N21*Supuestos!$D21*Supuestos!N$7</f>
        <v/>
      </c>
      <c r="AO19" s="37">
        <f>AN19-AM19</f>
        <v/>
      </c>
      <c r="AP19" s="43">
        <f>IF(AM19=0,0,AO19/AM19)</f>
        <v/>
      </c>
      <c r="AQ19" s="34">
        <f>Supuestos!$T21/Supuestos!$Q21*Supuestos!O21</f>
        <v/>
      </c>
      <c r="AR19" s="34">
        <f>Supuestos!$C21/Supuestos!$Q21*Supuestos!O21*Supuestos!$D21*Supuestos!O$7</f>
        <v/>
      </c>
      <c r="AS19" s="37">
        <f>AR19-AQ19</f>
        <v/>
      </c>
      <c r="AT19" s="43">
        <f>IF(AQ19=0,0,AS19/AQ19)</f>
        <v/>
      </c>
      <c r="AU19" s="34">
        <f>Supuestos!$T21/Supuestos!$Q21*Supuestos!P21</f>
        <v/>
      </c>
      <c r="AV19" s="34">
        <f>Supuestos!$C21/Supuestos!$Q21*Supuestos!P21*Supuestos!$D21*Supuestos!P$7</f>
        <v/>
      </c>
      <c r="AW19" s="37">
        <f>AV19-AU19</f>
        <v/>
      </c>
      <c r="AX19" s="43">
        <f>IF(AU19=0,0,AW19/AU19)</f>
        <v/>
      </c>
      <c r="AY19" s="37">
        <f>C19+G19+K19+O19+S19+W19+AA19+AE19+AI19+AM19+AQ19+AU19</f>
        <v/>
      </c>
      <c r="AZ19" s="37">
        <f>D19+H19+L19+P19+T19+X19+AB19+AF19+AJ19+AN19+AR19+AV19</f>
        <v/>
      </c>
      <c r="BA19" s="37">
        <f>AZ19-AY19</f>
        <v/>
      </c>
      <c r="BB19" s="43">
        <f>IF(AY19=0,0,BA19/AY19)</f>
        <v/>
      </c>
    </row>
    <row r="20">
      <c r="A20" s="19" t="inlineStr">
        <is>
          <t>COMUNIDAD Y ALIANZAS — Total</t>
        </is>
      </c>
      <c r="B20" s="19" t="n"/>
      <c r="C20" s="20">
        <f>SUM(C21:C21)</f>
        <v/>
      </c>
      <c r="D20" s="20">
        <f>SUM(D21:D21)</f>
        <v/>
      </c>
      <c r="E20" s="20">
        <f>D20-C20</f>
        <v/>
      </c>
      <c r="F20" s="21">
        <f>IF(C20=0,0,E20/C20)</f>
        <v/>
      </c>
      <c r="G20" s="20">
        <f>SUM(G21:G21)</f>
        <v/>
      </c>
      <c r="H20" s="20">
        <f>SUM(H21:H21)</f>
        <v/>
      </c>
      <c r="I20" s="20">
        <f>H20-G20</f>
        <v/>
      </c>
      <c r="J20" s="21">
        <f>IF(G20=0,0,I20/G20)</f>
        <v/>
      </c>
      <c r="K20" s="20">
        <f>SUM(K21:K21)</f>
        <v/>
      </c>
      <c r="L20" s="20">
        <f>SUM(L21:L21)</f>
        <v/>
      </c>
      <c r="M20" s="20">
        <f>L20-K20</f>
        <v/>
      </c>
      <c r="N20" s="21">
        <f>IF(K20=0,0,M20/K20)</f>
        <v/>
      </c>
      <c r="O20" s="20">
        <f>SUM(O21:O21)</f>
        <v/>
      </c>
      <c r="P20" s="20">
        <f>SUM(P21:P21)</f>
        <v/>
      </c>
      <c r="Q20" s="20">
        <f>P20-O20</f>
        <v/>
      </c>
      <c r="R20" s="21">
        <f>IF(O20=0,0,Q20/O20)</f>
        <v/>
      </c>
      <c r="S20" s="20">
        <f>SUM(S21:S21)</f>
        <v/>
      </c>
      <c r="T20" s="20">
        <f>SUM(T21:T21)</f>
        <v/>
      </c>
      <c r="U20" s="20">
        <f>T20-S20</f>
        <v/>
      </c>
      <c r="V20" s="21">
        <f>IF(S20=0,0,U20/S20)</f>
        <v/>
      </c>
      <c r="W20" s="20">
        <f>SUM(W21:W21)</f>
        <v/>
      </c>
      <c r="X20" s="20">
        <f>SUM(X21:X21)</f>
        <v/>
      </c>
      <c r="Y20" s="20">
        <f>X20-W20</f>
        <v/>
      </c>
      <c r="Z20" s="21">
        <f>IF(W20=0,0,Y20/W20)</f>
        <v/>
      </c>
      <c r="AA20" s="20">
        <f>SUM(AA21:AA21)</f>
        <v/>
      </c>
      <c r="AB20" s="20">
        <f>SUM(AB21:AB21)</f>
        <v/>
      </c>
      <c r="AC20" s="20">
        <f>AB20-AA20</f>
        <v/>
      </c>
      <c r="AD20" s="21">
        <f>IF(AA20=0,0,AC20/AA20)</f>
        <v/>
      </c>
      <c r="AE20" s="20">
        <f>SUM(AE21:AE21)</f>
        <v/>
      </c>
      <c r="AF20" s="20">
        <f>SUM(AF21:AF21)</f>
        <v/>
      </c>
      <c r="AG20" s="20">
        <f>AF20-AE20</f>
        <v/>
      </c>
      <c r="AH20" s="21">
        <f>IF(AE20=0,0,AG20/AE20)</f>
        <v/>
      </c>
      <c r="AI20" s="20">
        <f>SUM(AI21:AI21)</f>
        <v/>
      </c>
      <c r="AJ20" s="20">
        <f>SUM(AJ21:AJ21)</f>
        <v/>
      </c>
      <c r="AK20" s="20">
        <f>AJ20-AI20</f>
        <v/>
      </c>
      <c r="AL20" s="21">
        <f>IF(AI20=0,0,AK20/AI20)</f>
        <v/>
      </c>
      <c r="AM20" s="20">
        <f>SUM(AM21:AM21)</f>
        <v/>
      </c>
      <c r="AN20" s="20">
        <f>SUM(AN21:AN21)</f>
        <v/>
      </c>
      <c r="AO20" s="20">
        <f>AN20-AM20</f>
        <v/>
      </c>
      <c r="AP20" s="21">
        <f>IF(AM20=0,0,AO20/AM20)</f>
        <v/>
      </c>
      <c r="AQ20" s="20">
        <f>SUM(AQ21:AQ21)</f>
        <v/>
      </c>
      <c r="AR20" s="20">
        <f>SUM(AR21:AR21)</f>
        <v/>
      </c>
      <c r="AS20" s="20">
        <f>AR20-AQ20</f>
        <v/>
      </c>
      <c r="AT20" s="21">
        <f>IF(AQ20=0,0,AS20/AQ20)</f>
        <v/>
      </c>
      <c r="AU20" s="20">
        <f>SUM(AU21:AU21)</f>
        <v/>
      </c>
      <c r="AV20" s="20">
        <f>SUM(AV21:AV21)</f>
        <v/>
      </c>
      <c r="AW20" s="20">
        <f>AV20-AU20</f>
        <v/>
      </c>
      <c r="AX20" s="21">
        <f>IF(AU20=0,0,AW20/AU20)</f>
        <v/>
      </c>
      <c r="AY20" s="20">
        <f>C20+G20+K20+O20+S20+W20+AA20+AE20+AI20+AM20+AQ20+AU20</f>
        <v/>
      </c>
      <c r="AZ20" s="20">
        <f>D20+H20+L20+P20+T20+X20+AB20+AF20+AJ20+AN20+AR20+AV20</f>
        <v/>
      </c>
      <c r="BA20" s="20">
        <f>AZ20-AY20</f>
        <v/>
      </c>
      <c r="BB20" s="21">
        <f>IF(AY20=0,0,BA20/AY20)</f>
        <v/>
      </c>
    </row>
    <row r="21">
      <c r="A21" s="2" t="inlineStr">
        <is>
          <t>COMUNIDAD Y ALIANZAS</t>
        </is>
      </c>
      <c r="B21" s="27">
        <f>Supuestos!B22</f>
        <v/>
      </c>
      <c r="C21" s="34">
        <f>Supuestos!$T22/Supuestos!$Q22*Supuestos!E22</f>
        <v/>
      </c>
      <c r="D21" s="34">
        <f>Supuestos!$C22/Supuestos!$Q22*Supuestos!E22*Supuestos!$D22*Supuestos!E$7</f>
        <v/>
      </c>
      <c r="E21" s="37">
        <f>D21-C21</f>
        <v/>
      </c>
      <c r="F21" s="43">
        <f>IF(C21=0,0,E21/C21)</f>
        <v/>
      </c>
      <c r="G21" s="34">
        <f>Supuestos!$T22/Supuestos!$Q22*Supuestos!F22</f>
        <v/>
      </c>
      <c r="H21" s="34">
        <f>Supuestos!$C22/Supuestos!$Q22*Supuestos!F22*Supuestos!$D22*Supuestos!F$7</f>
        <v/>
      </c>
      <c r="I21" s="37">
        <f>H21-G21</f>
        <v/>
      </c>
      <c r="J21" s="43">
        <f>IF(G21=0,0,I21/G21)</f>
        <v/>
      </c>
      <c r="K21" s="34">
        <f>Supuestos!$T22/Supuestos!$Q22*Supuestos!G22</f>
        <v/>
      </c>
      <c r="L21" s="34">
        <f>Supuestos!$C22/Supuestos!$Q22*Supuestos!G22*Supuestos!$D22*Supuestos!G$7</f>
        <v/>
      </c>
      <c r="M21" s="37">
        <f>L21-K21</f>
        <v/>
      </c>
      <c r="N21" s="43">
        <f>IF(K21=0,0,M21/K21)</f>
        <v/>
      </c>
      <c r="O21" s="34">
        <f>Supuestos!$T22/Supuestos!$Q22*Supuestos!H22</f>
        <v/>
      </c>
      <c r="P21" s="34">
        <f>Supuestos!$C22/Supuestos!$Q22*Supuestos!H22*Supuestos!$D22*Supuestos!H$7</f>
        <v/>
      </c>
      <c r="Q21" s="37">
        <f>P21-O21</f>
        <v/>
      </c>
      <c r="R21" s="43">
        <f>IF(O21=0,0,Q21/O21)</f>
        <v/>
      </c>
      <c r="S21" s="34">
        <f>Supuestos!$T22/Supuestos!$Q22*Supuestos!I22</f>
        <v/>
      </c>
      <c r="T21" s="34">
        <f>Supuestos!$C22/Supuestos!$Q22*Supuestos!I22*Supuestos!$D22*Supuestos!I$7</f>
        <v/>
      </c>
      <c r="U21" s="37">
        <f>T21-S21</f>
        <v/>
      </c>
      <c r="V21" s="43">
        <f>IF(S21=0,0,U21/S21)</f>
        <v/>
      </c>
      <c r="W21" s="34">
        <f>Supuestos!$T22/Supuestos!$Q22*Supuestos!J22</f>
        <v/>
      </c>
      <c r="X21" s="34">
        <f>Supuestos!$C22/Supuestos!$Q22*Supuestos!J22*Supuestos!$D22*Supuestos!J$7</f>
        <v/>
      </c>
      <c r="Y21" s="37">
        <f>X21-W21</f>
        <v/>
      </c>
      <c r="Z21" s="43">
        <f>IF(W21=0,0,Y21/W21)</f>
        <v/>
      </c>
      <c r="AA21" s="34">
        <f>Supuestos!$T22/Supuestos!$Q22*Supuestos!K22</f>
        <v/>
      </c>
      <c r="AB21" s="34">
        <f>Supuestos!$C22/Supuestos!$Q22*Supuestos!K22*Supuestos!$D22*Supuestos!K$7</f>
        <v/>
      </c>
      <c r="AC21" s="37">
        <f>AB21-AA21</f>
        <v/>
      </c>
      <c r="AD21" s="43">
        <f>IF(AA21=0,0,AC21/AA21)</f>
        <v/>
      </c>
      <c r="AE21" s="34">
        <f>Supuestos!$T22/Supuestos!$Q22*Supuestos!L22</f>
        <v/>
      </c>
      <c r="AF21" s="34">
        <f>Supuestos!$C22/Supuestos!$Q22*Supuestos!L22*Supuestos!$D22*Supuestos!L$7</f>
        <v/>
      </c>
      <c r="AG21" s="37">
        <f>AF21-AE21</f>
        <v/>
      </c>
      <c r="AH21" s="43">
        <f>IF(AE21=0,0,AG21/AE21)</f>
        <v/>
      </c>
      <c r="AI21" s="34">
        <f>Supuestos!$T22/Supuestos!$Q22*Supuestos!M22</f>
        <v/>
      </c>
      <c r="AJ21" s="34">
        <f>Supuestos!$C22/Supuestos!$Q22*Supuestos!M22*Supuestos!$D22*Supuestos!M$7</f>
        <v/>
      </c>
      <c r="AK21" s="37">
        <f>AJ21-AI21</f>
        <v/>
      </c>
      <c r="AL21" s="43">
        <f>IF(AI21=0,0,AK21/AI21)</f>
        <v/>
      </c>
      <c r="AM21" s="34">
        <f>Supuestos!$T22/Supuestos!$Q22*Supuestos!N22</f>
        <v/>
      </c>
      <c r="AN21" s="34">
        <f>Supuestos!$C22/Supuestos!$Q22*Supuestos!N22*Supuestos!$D22*Supuestos!N$7</f>
        <v/>
      </c>
      <c r="AO21" s="37">
        <f>AN21-AM21</f>
        <v/>
      </c>
      <c r="AP21" s="43">
        <f>IF(AM21=0,0,AO21/AM21)</f>
        <v/>
      </c>
      <c r="AQ21" s="34">
        <f>Supuestos!$T22/Supuestos!$Q22*Supuestos!O22</f>
        <v/>
      </c>
      <c r="AR21" s="34">
        <f>Supuestos!$C22/Supuestos!$Q22*Supuestos!O22*Supuestos!$D22*Supuestos!O$7</f>
        <v/>
      </c>
      <c r="AS21" s="37">
        <f>AR21-AQ21</f>
        <v/>
      </c>
      <c r="AT21" s="43">
        <f>IF(AQ21=0,0,AS21/AQ21)</f>
        <v/>
      </c>
      <c r="AU21" s="34">
        <f>Supuestos!$T22/Supuestos!$Q22*Supuestos!P22</f>
        <v/>
      </c>
      <c r="AV21" s="34">
        <f>Supuestos!$C22/Supuestos!$Q22*Supuestos!P22*Supuestos!$D22*Supuestos!P$7</f>
        <v/>
      </c>
      <c r="AW21" s="37">
        <f>AV21-AU21</f>
        <v/>
      </c>
      <c r="AX21" s="43">
        <f>IF(AU21=0,0,AW21/AU21)</f>
        <v/>
      </c>
      <c r="AY21" s="37">
        <f>C21+G21+K21+O21+S21+W21+AA21+AE21+AI21+AM21+AQ21+AU21</f>
        <v/>
      </c>
      <c r="AZ21" s="37">
        <f>D21+H21+L21+P21+T21+X21+AB21+AF21+AJ21+AN21+AR21+AV21</f>
        <v/>
      </c>
      <c r="BA21" s="37">
        <f>AZ21-AY21</f>
        <v/>
      </c>
      <c r="BB21" s="43">
        <f>IF(AY21=0,0,BA21/AY21)</f>
        <v/>
      </c>
    </row>
    <row r="23">
      <c r="A23" s="13" t="inlineStr">
        <is>
          <t>TOTAL COSTO MARKETING (INVERSIÓN)</t>
        </is>
      </c>
      <c r="B23" s="13" t="n"/>
      <c r="C23" s="14">
        <f>C6+C9+C14+C17+C20</f>
        <v/>
      </c>
      <c r="D23" s="13" t="n"/>
      <c r="E23" s="13" t="n"/>
      <c r="F23" s="13" t="n"/>
      <c r="G23" s="14">
        <f>G6+G9+G14+G17+G20</f>
        <v/>
      </c>
      <c r="H23" s="13" t="n"/>
      <c r="I23" s="13" t="n"/>
      <c r="J23" s="13" t="n"/>
      <c r="K23" s="14">
        <f>K6+K9+K14+K17+K20</f>
        <v/>
      </c>
      <c r="L23" s="13" t="n"/>
      <c r="M23" s="13" t="n"/>
      <c r="N23" s="13" t="n"/>
      <c r="O23" s="14">
        <f>O6+O9+O14+O17+O20</f>
        <v/>
      </c>
      <c r="P23" s="13" t="n"/>
      <c r="Q23" s="13" t="n"/>
      <c r="R23" s="13" t="n"/>
      <c r="S23" s="14">
        <f>S6+S9+S14+S17+S20</f>
        <v/>
      </c>
      <c r="T23" s="13" t="n"/>
      <c r="U23" s="13" t="n"/>
      <c r="V23" s="13" t="n"/>
      <c r="W23" s="14">
        <f>W6+W9+W14+W17+W20</f>
        <v/>
      </c>
      <c r="X23" s="13" t="n"/>
      <c r="Y23" s="13" t="n"/>
      <c r="Z23" s="13" t="n"/>
      <c r="AA23" s="14">
        <f>AA6+AA9+AA14+AA17+AA20</f>
        <v/>
      </c>
      <c r="AB23" s="13" t="n"/>
      <c r="AC23" s="13" t="n"/>
      <c r="AD23" s="13" t="n"/>
      <c r="AE23" s="14">
        <f>AE6+AE9+AE14+AE17+AE20</f>
        <v/>
      </c>
      <c r="AF23" s="13" t="n"/>
      <c r="AG23" s="13" t="n"/>
      <c r="AH23" s="13" t="n"/>
      <c r="AI23" s="14">
        <f>AI6+AI9+AI14+AI17+AI20</f>
        <v/>
      </c>
      <c r="AJ23" s="13" t="n"/>
      <c r="AK23" s="13" t="n"/>
      <c r="AL23" s="13" t="n"/>
      <c r="AM23" s="14">
        <f>AM6+AM9+AM14+AM17+AM20</f>
        <v/>
      </c>
      <c r="AN23" s="13" t="n"/>
      <c r="AO23" s="13" t="n"/>
      <c r="AP23" s="13" t="n"/>
      <c r="AQ23" s="14">
        <f>AQ6+AQ9+AQ14+AQ17+AQ20</f>
        <v/>
      </c>
      <c r="AR23" s="13" t="n"/>
      <c r="AS23" s="13" t="n"/>
      <c r="AT23" s="13" t="n"/>
      <c r="AU23" s="14">
        <f>AU6+AU9+AU14+AU17+AU20</f>
        <v/>
      </c>
      <c r="AV23" s="13" t="n"/>
      <c r="AW23" s="13" t="n"/>
      <c r="AX23" s="13" t="n"/>
      <c r="AY23" s="14">
        <f>AY6+AY9+AY14+AY17+AY20</f>
        <v/>
      </c>
      <c r="AZ23" s="13" t="n"/>
      <c r="BA23" s="13" t="n"/>
      <c r="BB23" s="13" t="n"/>
    </row>
    <row r="24">
      <c r="A24" s="13" t="inlineStr">
        <is>
          <t>TOTAL INGRESO (FORECAST)</t>
        </is>
      </c>
      <c r="B24" s="13" t="n"/>
      <c r="C24" s="13" t="n"/>
      <c r="D24" s="14">
        <f>D6+D9+D14+D17+D20</f>
        <v/>
      </c>
      <c r="E24" s="13" t="n"/>
      <c r="F24" s="13" t="n"/>
      <c r="G24" s="13" t="n"/>
      <c r="H24" s="14">
        <f>H6+H9+H14+H17+H20</f>
        <v/>
      </c>
      <c r="I24" s="13" t="n"/>
      <c r="J24" s="13" t="n"/>
      <c r="K24" s="13" t="n"/>
      <c r="L24" s="14">
        <f>L6+L9+L14+L17+L20</f>
        <v/>
      </c>
      <c r="M24" s="13" t="n"/>
      <c r="N24" s="13" t="n"/>
      <c r="O24" s="13" t="n"/>
      <c r="P24" s="14">
        <f>P6+P9+P14+P17+P20</f>
        <v/>
      </c>
      <c r="Q24" s="13" t="n"/>
      <c r="R24" s="13" t="n"/>
      <c r="S24" s="13" t="n"/>
      <c r="T24" s="14">
        <f>T6+T9+T14+T17+T20</f>
        <v/>
      </c>
      <c r="U24" s="13" t="n"/>
      <c r="V24" s="13" t="n"/>
      <c r="W24" s="13" t="n"/>
      <c r="X24" s="14">
        <f>X6+X9+X14+X17+X20</f>
        <v/>
      </c>
      <c r="Y24" s="13" t="n"/>
      <c r="Z24" s="13" t="n"/>
      <c r="AA24" s="13" t="n"/>
      <c r="AB24" s="14">
        <f>AB6+AB9+AB14+AB17+AB20</f>
        <v/>
      </c>
      <c r="AC24" s="13" t="n"/>
      <c r="AD24" s="13" t="n"/>
      <c r="AE24" s="13" t="n"/>
      <c r="AF24" s="14">
        <f>AF6+AF9+AF14+AF17+AF20</f>
        <v/>
      </c>
      <c r="AG24" s="13" t="n"/>
      <c r="AH24" s="13" t="n"/>
      <c r="AI24" s="13" t="n"/>
      <c r="AJ24" s="14">
        <f>AJ6+AJ9+AJ14+AJ17+AJ20</f>
        <v/>
      </c>
      <c r="AK24" s="13" t="n"/>
      <c r="AL24" s="13" t="n"/>
      <c r="AM24" s="13" t="n"/>
      <c r="AN24" s="14">
        <f>AN6+AN9+AN14+AN17+AN20</f>
        <v/>
      </c>
      <c r="AO24" s="13" t="n"/>
      <c r="AP24" s="13" t="n"/>
      <c r="AQ24" s="13" t="n"/>
      <c r="AR24" s="14">
        <f>AR6+AR9+AR14+AR17+AR20</f>
        <v/>
      </c>
      <c r="AS24" s="13" t="n"/>
      <c r="AT24" s="13" t="n"/>
      <c r="AU24" s="13" t="n"/>
      <c r="AV24" s="14">
        <f>AV6+AV9+AV14+AV17+AV20</f>
        <v/>
      </c>
      <c r="AW24" s="13" t="n"/>
      <c r="AX24" s="13" t="n"/>
      <c r="AY24" s="13" t="n"/>
      <c r="AZ24" s="14">
        <f>AZ6+AZ9+AZ14+AZ17+AZ20</f>
        <v/>
      </c>
      <c r="BA24" s="13" t="n"/>
      <c r="BB24" s="13" t="n"/>
    </row>
    <row r="25">
      <c r="A25" s="13" t="inlineStr">
        <is>
          <t>TOTAL BENEFICIO NETO</t>
        </is>
      </c>
      <c r="B25" s="13" t="n"/>
      <c r="C25" s="13" t="n"/>
      <c r="D25" s="13" t="n"/>
      <c r="E25" s="14">
        <f>D24-C23</f>
        <v/>
      </c>
      <c r="F25" s="13" t="n"/>
      <c r="G25" s="13" t="n"/>
      <c r="H25" s="13" t="n"/>
      <c r="I25" s="14">
        <f>H24-G23</f>
        <v/>
      </c>
      <c r="J25" s="13" t="n"/>
      <c r="K25" s="13" t="n"/>
      <c r="L25" s="13" t="n"/>
      <c r="M25" s="14">
        <f>L24-K23</f>
        <v/>
      </c>
      <c r="N25" s="13" t="n"/>
      <c r="O25" s="13" t="n"/>
      <c r="P25" s="13" t="n"/>
      <c r="Q25" s="14">
        <f>P24-O23</f>
        <v/>
      </c>
      <c r="R25" s="13" t="n"/>
      <c r="S25" s="13" t="n"/>
      <c r="T25" s="13" t="n"/>
      <c r="U25" s="14">
        <f>T24-S23</f>
        <v/>
      </c>
      <c r="V25" s="13" t="n"/>
      <c r="W25" s="13" t="n"/>
      <c r="X25" s="13" t="n"/>
      <c r="Y25" s="14">
        <f>X24-W23</f>
        <v/>
      </c>
      <c r="Z25" s="13" t="n"/>
      <c r="AA25" s="13" t="n"/>
      <c r="AB25" s="13" t="n"/>
      <c r="AC25" s="14">
        <f>AB24-AA23</f>
        <v/>
      </c>
      <c r="AD25" s="13" t="n"/>
      <c r="AE25" s="13" t="n"/>
      <c r="AF25" s="13" t="n"/>
      <c r="AG25" s="14">
        <f>AF24-AE23</f>
        <v/>
      </c>
      <c r="AH25" s="13" t="n"/>
      <c r="AI25" s="13" t="n"/>
      <c r="AJ25" s="13" t="n"/>
      <c r="AK25" s="14">
        <f>AJ24-AI23</f>
        <v/>
      </c>
      <c r="AL25" s="13" t="n"/>
      <c r="AM25" s="13" t="n"/>
      <c r="AN25" s="13" t="n"/>
      <c r="AO25" s="14">
        <f>AN24-AM23</f>
        <v/>
      </c>
      <c r="AP25" s="13" t="n"/>
      <c r="AQ25" s="13" t="n"/>
      <c r="AR25" s="13" t="n"/>
      <c r="AS25" s="14">
        <f>AR24-AQ23</f>
        <v/>
      </c>
      <c r="AT25" s="13" t="n"/>
      <c r="AU25" s="13" t="n"/>
      <c r="AV25" s="13" t="n"/>
      <c r="AW25" s="14">
        <f>AV24-AU23</f>
        <v/>
      </c>
      <c r="AX25" s="13" t="n"/>
      <c r="AY25" s="13" t="n"/>
      <c r="AZ25" s="13" t="n"/>
      <c r="BA25" s="14">
        <f>AZ24-AY23</f>
        <v/>
      </c>
      <c r="BB25" s="13" t="n"/>
    </row>
    <row r="26">
      <c r="A26" s="13" t="inlineStr">
        <is>
          <t>ROI DEL MES</t>
        </is>
      </c>
      <c r="B26" s="13" t="n"/>
      <c r="C26" s="13" t="n"/>
      <c r="D26" s="13" t="n"/>
      <c r="E26" s="13" t="n"/>
      <c r="F26" s="15">
        <f>IF(C23=0,0,E25/C23)</f>
        <v/>
      </c>
      <c r="G26" s="13" t="n"/>
      <c r="H26" s="13" t="n"/>
      <c r="I26" s="13" t="n"/>
      <c r="J26" s="15">
        <f>IF(G23=0,0,I25/G23)</f>
        <v/>
      </c>
      <c r="K26" s="13" t="n"/>
      <c r="L26" s="13" t="n"/>
      <c r="M26" s="13" t="n"/>
      <c r="N26" s="15">
        <f>IF(K23=0,0,M25/K23)</f>
        <v/>
      </c>
      <c r="O26" s="13" t="n"/>
      <c r="P26" s="13" t="n"/>
      <c r="Q26" s="13" t="n"/>
      <c r="R26" s="15">
        <f>IF(O23=0,0,Q25/O23)</f>
        <v/>
      </c>
      <c r="S26" s="13" t="n"/>
      <c r="T26" s="13" t="n"/>
      <c r="U26" s="13" t="n"/>
      <c r="V26" s="15">
        <f>IF(S23=0,0,U25/S23)</f>
        <v/>
      </c>
      <c r="W26" s="13" t="n"/>
      <c r="X26" s="13" t="n"/>
      <c r="Y26" s="13" t="n"/>
      <c r="Z26" s="15">
        <f>IF(W23=0,0,Y25/W23)</f>
        <v/>
      </c>
      <c r="AA26" s="13" t="n"/>
      <c r="AB26" s="13" t="n"/>
      <c r="AC26" s="13" t="n"/>
      <c r="AD26" s="15">
        <f>IF(AA23=0,0,AC25/AA23)</f>
        <v/>
      </c>
      <c r="AE26" s="13" t="n"/>
      <c r="AF26" s="13" t="n"/>
      <c r="AG26" s="13" t="n"/>
      <c r="AH26" s="15">
        <f>IF(AE23=0,0,AG25/AE23)</f>
        <v/>
      </c>
      <c r="AI26" s="13" t="n"/>
      <c r="AJ26" s="13" t="n"/>
      <c r="AK26" s="13" t="n"/>
      <c r="AL26" s="15">
        <f>IF(AI23=0,0,AK25/AI23)</f>
        <v/>
      </c>
      <c r="AM26" s="13" t="n"/>
      <c r="AN26" s="13" t="n"/>
      <c r="AO26" s="13" t="n"/>
      <c r="AP26" s="15">
        <f>IF(AM23=0,0,AO25/AM23)</f>
        <v/>
      </c>
      <c r="AQ26" s="13" t="n"/>
      <c r="AR26" s="13" t="n"/>
      <c r="AS26" s="13" t="n"/>
      <c r="AT26" s="15">
        <f>IF(AQ23=0,0,AS25/AQ23)</f>
        <v/>
      </c>
      <c r="AU26" s="13" t="n"/>
      <c r="AV26" s="13" t="n"/>
      <c r="AW26" s="13" t="n"/>
      <c r="AX26" s="15">
        <f>IF(AU23=0,0,AW25/AU23)</f>
        <v/>
      </c>
      <c r="AY26" s="13" t="n"/>
      <c r="AZ26" s="13" t="n"/>
      <c r="BA26" s="13" t="n"/>
      <c r="BB26" s="15">
        <f>IF(AY23=0,0,BA25/AY23)</f>
        <v/>
      </c>
    </row>
    <row r="27">
      <c r="A27" s="13" t="inlineStr">
        <is>
          <t>MÚLTIPLO INGRESO / COSTO (x)</t>
        </is>
      </c>
      <c r="B27" s="13" t="n"/>
      <c r="C27" s="13" t="n"/>
      <c r="D27" s="13" t="n"/>
      <c r="E27" s="13" t="n"/>
      <c r="F27" s="16">
        <f>IF(C23=0,0,D24/C23)</f>
        <v/>
      </c>
      <c r="G27" s="13" t="n"/>
      <c r="H27" s="13" t="n"/>
      <c r="I27" s="13" t="n"/>
      <c r="J27" s="16">
        <f>IF(G23=0,0,H24/G23)</f>
        <v/>
      </c>
      <c r="K27" s="13" t="n"/>
      <c r="L27" s="13" t="n"/>
      <c r="M27" s="13" t="n"/>
      <c r="N27" s="16">
        <f>IF(K23=0,0,L24/K23)</f>
        <v/>
      </c>
      <c r="O27" s="13" t="n"/>
      <c r="P27" s="13" t="n"/>
      <c r="Q27" s="13" t="n"/>
      <c r="R27" s="16">
        <f>IF(O23=0,0,P24/O23)</f>
        <v/>
      </c>
      <c r="S27" s="13" t="n"/>
      <c r="T27" s="13" t="n"/>
      <c r="U27" s="13" t="n"/>
      <c r="V27" s="16">
        <f>IF(S23=0,0,T24/S23)</f>
        <v/>
      </c>
      <c r="W27" s="13" t="n"/>
      <c r="X27" s="13" t="n"/>
      <c r="Y27" s="13" t="n"/>
      <c r="Z27" s="16">
        <f>IF(W23=0,0,X24/W23)</f>
        <v/>
      </c>
      <c r="AA27" s="13" t="n"/>
      <c r="AB27" s="13" t="n"/>
      <c r="AC27" s="13" t="n"/>
      <c r="AD27" s="16">
        <f>IF(AA23=0,0,AB24/AA23)</f>
        <v/>
      </c>
      <c r="AE27" s="13" t="n"/>
      <c r="AF27" s="13" t="n"/>
      <c r="AG27" s="13" t="n"/>
      <c r="AH27" s="16">
        <f>IF(AE23=0,0,AF24/AE23)</f>
        <v/>
      </c>
      <c r="AI27" s="13" t="n"/>
      <c r="AJ27" s="13" t="n"/>
      <c r="AK27" s="13" t="n"/>
      <c r="AL27" s="16">
        <f>IF(AI23=0,0,AJ24/AI23)</f>
        <v/>
      </c>
      <c r="AM27" s="13" t="n"/>
      <c r="AN27" s="13" t="n"/>
      <c r="AO27" s="13" t="n"/>
      <c r="AP27" s="16">
        <f>IF(AM23=0,0,AN24/AM23)</f>
        <v/>
      </c>
      <c r="AQ27" s="13" t="n"/>
      <c r="AR27" s="13" t="n"/>
      <c r="AS27" s="13" t="n"/>
      <c r="AT27" s="16">
        <f>IF(AQ23=0,0,AR24/AQ23)</f>
        <v/>
      </c>
      <c r="AU27" s="13" t="n"/>
      <c r="AV27" s="13" t="n"/>
      <c r="AW27" s="13" t="n"/>
      <c r="AX27" s="16">
        <f>IF(AU23=0,0,AV24/AU23)</f>
        <v/>
      </c>
      <c r="AY27" s="13" t="n"/>
      <c r="AZ27" s="13" t="n"/>
      <c r="BA27" s="13" t="n"/>
      <c r="BB27" s="16">
        <f>IF(AY23=0,0,AZ24/AY23)</f>
        <v/>
      </c>
    </row>
    <row r="29">
      <c r="A29" s="18" t="inlineStr">
        <is>
          <t>Control vs. Supuestos:</t>
        </is>
      </c>
      <c r="C29" s="22">
        <f>IF(ABS(AY23-Supuestos!T23)&lt;1,"OK ✓ cuadra con el presupuesto","REVISAR")</f>
        <v/>
      </c>
    </row>
  </sheetData>
  <mergeCells count="3">
    <mergeCell ref="A4:A5"/>
    <mergeCell ref="B4:B5"/>
    <mergeCell ref="AY4:BB4"/>
  </mergeCells>
  <pageMargins left="0.75" right="0.75" top="1" bottom="1" header="0.511811023622047" footer="0.511811023622047"/>
  <pageSetup orientation="landscape" paperSize="8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26"/>
  <sheetViews>
    <sheetView zoomScaleNormal="100" workbookViewId="0">
      <pane xSplit="2" ySplit="11" topLeftCell="H15" activePane="bottomRight" state="frozen"/>
      <selection pane="topRight" activeCell="C1" sqref="C1"/>
      <selection pane="bottomLeft" activeCell="A12" sqref="A12"/>
      <selection pane="bottomRight" activeCell="H10" sqref="H10"/>
    </sheetView>
  </sheetViews>
  <sheetFormatPr baseColWidth="10" defaultColWidth="8.7109375" defaultRowHeight="15"/>
  <cols>
    <col width="26" customWidth="1" style="42" min="1" max="1"/>
    <col width="46" customWidth="1" style="42" min="2" max="2"/>
    <col width="17" customWidth="1" style="42" min="3" max="3"/>
    <col width="10" customWidth="1" style="42" min="4" max="4"/>
    <col width="5.5703125" customWidth="1" style="42" min="5" max="16"/>
    <col width="8" customWidth="1" style="42" min="17" max="18"/>
    <col width="15" customWidth="1" style="42" min="19" max="19"/>
    <col width="16" customWidth="1" style="42" min="20" max="20"/>
    <col width="18" customWidth="1" style="42" min="21" max="21"/>
  </cols>
  <sheetData>
    <row r="1" ht="16.5" customFormat="1" customHeight="1" s="41">
      <c r="A1" s="31" t="inlineStr">
        <is>
          <t>SUPUESTOS Y PRESUPUESTO DE MARKETING — DÖNER STREET 2027 (PLAN AJUSTADO, 11 CAMPAÑAS)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</row>
    <row r="3">
      <c r="C3" s="39" t="n">
        <v>1800000</v>
      </c>
    </row>
    <row r="5">
      <c r="A5" s="17" t="inlineStr">
        <is>
          <t>Índice de estacionalidad mensual (multiplicador de demanda esperado)</t>
        </is>
      </c>
    </row>
    <row r="6">
      <c r="A6" t="inlineStr">
        <is>
          <t>Mes</t>
        </is>
      </c>
      <c r="E6" s="24" t="inlineStr">
        <is>
          <t>Ene</t>
        </is>
      </c>
      <c r="F6" s="24" t="inlineStr">
        <is>
          <t>Feb</t>
        </is>
      </c>
      <c r="G6" s="24" t="inlineStr">
        <is>
          <t>Mar</t>
        </is>
      </c>
      <c r="H6" s="24" t="inlineStr">
        <is>
          <t>Abr</t>
        </is>
      </c>
      <c r="I6" s="24" t="inlineStr">
        <is>
          <t>May</t>
        </is>
      </c>
      <c r="J6" s="24" t="inlineStr">
        <is>
          <t>Jun</t>
        </is>
      </c>
      <c r="K6" s="24" t="inlineStr">
        <is>
          <t>Jul</t>
        </is>
      </c>
      <c r="L6" s="24" t="inlineStr">
        <is>
          <t>Ago</t>
        </is>
      </c>
      <c r="M6" s="24" t="inlineStr">
        <is>
          <t>Sep</t>
        </is>
      </c>
      <c r="N6" s="24" t="inlineStr">
        <is>
          <t>Oct</t>
        </is>
      </c>
      <c r="O6" s="24" t="inlineStr">
        <is>
          <t>Nov</t>
        </is>
      </c>
      <c r="P6" s="24" t="inlineStr">
        <is>
          <t>Dic</t>
        </is>
      </c>
    </row>
    <row r="7">
      <c r="A7" t="inlineStr">
        <is>
          <t>Índice</t>
        </is>
      </c>
      <c r="E7" s="38" t="n">
        <v>1.2</v>
      </c>
      <c r="F7" s="38" t="n">
        <v>1.15</v>
      </c>
      <c r="G7" s="38" t="n">
        <v>0.9</v>
      </c>
      <c r="H7" s="38" t="n">
        <v>0.85</v>
      </c>
      <c r="I7" s="38" t="n">
        <v>1.05</v>
      </c>
      <c r="J7" s="38" t="n">
        <v>0.95</v>
      </c>
      <c r="K7" s="38" t="n">
        <v>1</v>
      </c>
      <c r="L7" s="38" t="n">
        <v>1.05</v>
      </c>
      <c r="M7" s="38" t="n">
        <v>1.1</v>
      </c>
      <c r="N7" s="38" t="n">
        <v>1.1</v>
      </c>
      <c r="O7" s="38" t="n">
        <v>1.15</v>
      </c>
      <c r="P7" s="38" t="n">
        <v>1.3</v>
      </c>
    </row>
    <row r="8">
      <c r="A8" s="18" t="n"/>
    </row>
    <row r="10">
      <c r="A10" s="17" t="inlineStr">
        <is>
          <t>Presupuesto y supuestos por campaña</t>
        </is>
      </c>
    </row>
    <row r="11" ht="39.75" customHeight="1" s="42">
      <c r="A11" s="30" t="inlineStr">
        <is>
          <t>Área</t>
        </is>
      </c>
      <c r="B11" s="30" t="inlineStr">
        <is>
          <t>Campaña</t>
        </is>
      </c>
      <c r="C11" s="30" t="inlineStr">
        <is>
          <t>Inversión en medios (COP)</t>
        </is>
      </c>
      <c r="D11" s="30" t="inlineStr">
        <is>
          <t>ROAS esperado (x)</t>
        </is>
      </c>
      <c r="E11" s="30" t="inlineStr">
        <is>
          <t>Ene</t>
        </is>
      </c>
      <c r="F11" s="30" t="inlineStr">
        <is>
          <t>Feb</t>
        </is>
      </c>
      <c r="G11" s="30" t="inlineStr">
        <is>
          <t>Mar</t>
        </is>
      </c>
      <c r="H11" s="30" t="inlineStr">
        <is>
          <t>Abr</t>
        </is>
      </c>
      <c r="I11" s="30" t="inlineStr">
        <is>
          <t>May</t>
        </is>
      </c>
      <c r="J11" s="30" t="inlineStr">
        <is>
          <t>Jun</t>
        </is>
      </c>
      <c r="K11" s="30" t="inlineStr">
        <is>
          <t>Jul</t>
        </is>
      </c>
      <c r="L11" s="30" t="inlineStr">
        <is>
          <t>Ago</t>
        </is>
      </c>
      <c r="M11" s="30" t="inlineStr">
        <is>
          <t>Sep</t>
        </is>
      </c>
      <c r="N11" s="30" t="inlineStr">
        <is>
          <t>Oct</t>
        </is>
      </c>
      <c r="O11" s="30" t="inlineStr">
        <is>
          <t>Nov</t>
        </is>
      </c>
      <c r="P11" s="30" t="inlineStr">
        <is>
          <t>Dic</t>
        </is>
      </c>
      <c r="Q11" s="30" t="inlineStr">
        <is>
          <t>Meses activos</t>
        </is>
      </c>
      <c r="R11" s="30" t="inlineStr">
        <is>
          <t>Agencia (1/0)</t>
        </is>
      </c>
      <c r="S11" s="30" t="inlineStr">
        <is>
          <t>Honorario (COP)</t>
        </is>
      </c>
      <c r="T11" s="30" t="inlineStr">
        <is>
          <t>Costo total (COP)</t>
        </is>
      </c>
      <c r="U11" s="30" t="inlineStr">
        <is>
          <t>Fechas (plan 2027)</t>
        </is>
      </c>
    </row>
    <row r="12">
      <c r="A12" s="33" t="inlineStr">
        <is>
          <t>LANZAMIENTO</t>
        </is>
      </c>
      <c r="B12" s="33" t="inlineStr">
        <is>
          <t>Prensa y Redes (Teaser + PR + Promo apertura)</t>
        </is>
      </c>
      <c r="C12" s="34" t="n">
        <v>3000000</v>
      </c>
      <c r="D12" s="35" t="n">
        <v>3</v>
      </c>
      <c r="E12" s="28" t="n">
        <v>1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36">
        <f>SUM(E12:P12)</f>
        <v/>
      </c>
      <c r="R12" s="28" t="n">
        <v>1</v>
      </c>
      <c r="S12" s="37">
        <f>R12*$C$3</f>
        <v/>
      </c>
      <c r="T12" s="37">
        <f>C12+S12</f>
        <v/>
      </c>
      <c r="U12" s="33" t="inlineStr">
        <is>
          <t>4-25 ene</t>
        </is>
      </c>
    </row>
    <row r="13">
      <c r="A13" s="33" t="inlineStr">
        <is>
          <t>LANZAMIENTO</t>
        </is>
      </c>
      <c r="B13" s="33" t="inlineStr">
        <is>
          <t>Volantes, degustaciones y garantía de satisfacción</t>
        </is>
      </c>
      <c r="C13" s="34" t="n">
        <v>2000000</v>
      </c>
      <c r="D13" s="35" t="n">
        <v>3.5</v>
      </c>
      <c r="E13" s="28" t="n">
        <v>1</v>
      </c>
      <c r="F13" s="28" t="n">
        <v>1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36">
        <f>SUM(E13:P13)</f>
        <v/>
      </c>
      <c r="R13" s="28" t="n">
        <v>0</v>
      </c>
      <c r="S13" s="37">
        <f>R13*$C$3</f>
        <v/>
      </c>
      <c r="T13" s="37">
        <f>C13+S13</f>
        <v/>
      </c>
      <c r="U13" s="33" t="inlineStr">
        <is>
          <t>18 ene-1 feb</t>
        </is>
      </c>
    </row>
    <row r="14">
      <c r="A14" s="33" t="inlineStr">
        <is>
          <t>PUBLICIDAD DIGITAL</t>
        </is>
      </c>
      <c r="B14" s="33" t="inlineStr">
        <is>
          <t>Contenido orgánico IG/TikTok/Facebook</t>
        </is>
      </c>
      <c r="C14" s="34" t="n">
        <v>2800000</v>
      </c>
      <c r="D14" s="35" t="n">
        <v>2.5</v>
      </c>
      <c r="E14" s="28" t="n">
        <v>1</v>
      </c>
      <c r="F14" s="28" t="n">
        <v>1</v>
      </c>
      <c r="G14" s="28" t="n">
        <v>1</v>
      </c>
      <c r="H14" s="28" t="n">
        <v>1</v>
      </c>
      <c r="I14" s="28" t="n">
        <v>1</v>
      </c>
      <c r="J14" s="28" t="n">
        <v>1</v>
      </c>
      <c r="K14" s="28" t="n">
        <v>1</v>
      </c>
      <c r="L14" s="28" t="n">
        <v>1</v>
      </c>
      <c r="M14" s="28" t="n">
        <v>1</v>
      </c>
      <c r="N14" s="28" t="n">
        <v>1</v>
      </c>
      <c r="O14" s="28" t="n">
        <v>1</v>
      </c>
      <c r="P14" s="28" t="n">
        <v>1</v>
      </c>
      <c r="Q14" s="36">
        <f>SUM(E14:P14)</f>
        <v/>
      </c>
      <c r="R14" s="28" t="n">
        <v>1</v>
      </c>
      <c r="S14" s="37">
        <f>R14*$C$3</f>
        <v/>
      </c>
      <c r="T14" s="37">
        <f>C14+S14</f>
        <v/>
      </c>
      <c r="U14" s="33" t="inlineStr">
        <is>
          <t>4 ene-31 dic (mar y vie)</t>
        </is>
      </c>
    </row>
    <row r="15">
      <c r="A15" s="33" t="inlineStr">
        <is>
          <t>PUBLICIDAD DIGITAL</t>
        </is>
      </c>
      <c r="B15" s="33" t="inlineStr">
        <is>
          <t>Google Business Profile (SEO local)</t>
        </is>
      </c>
      <c r="C15" s="34" t="n">
        <v>1200000</v>
      </c>
      <c r="D15" s="35" t="n">
        <v>6</v>
      </c>
      <c r="E15" s="28" t="n">
        <v>1</v>
      </c>
      <c r="F15" s="28" t="n">
        <v>1</v>
      </c>
      <c r="G15" s="28" t="n">
        <v>1</v>
      </c>
      <c r="H15" s="28" t="n">
        <v>1</v>
      </c>
      <c r="I15" s="28" t="n">
        <v>1</v>
      </c>
      <c r="J15" s="28" t="n">
        <v>1</v>
      </c>
      <c r="K15" s="28" t="n">
        <v>1</v>
      </c>
      <c r="L15" s="28" t="n">
        <v>1</v>
      </c>
      <c r="M15" s="28" t="n">
        <v>1</v>
      </c>
      <c r="N15" s="28" t="n">
        <v>1</v>
      </c>
      <c r="O15" s="28" t="n">
        <v>1</v>
      </c>
      <c r="P15" s="28" t="n">
        <v>1</v>
      </c>
      <c r="Q15" s="36">
        <f>SUM(E15:P15)</f>
        <v/>
      </c>
      <c r="R15" s="28" t="n">
        <v>0</v>
      </c>
      <c r="S15" s="37">
        <f>R15*$C$3</f>
        <v/>
      </c>
      <c r="T15" s="37">
        <f>C15+S15</f>
        <v/>
      </c>
      <c r="U15" s="33" t="inlineStr">
        <is>
          <t>4 ene-31 dic</t>
        </is>
      </c>
    </row>
    <row r="16">
      <c r="A16" s="33" t="inlineStr">
        <is>
          <t>PUBLICIDAD DIGITAL</t>
        </is>
      </c>
      <c r="B16" s="33" t="inlineStr">
        <is>
          <t>Meta Ads pagado (geo-segmentado)</t>
        </is>
      </c>
      <c r="C16" s="34" t="n">
        <v>24000000</v>
      </c>
      <c r="D16" s="35" t="n">
        <v>4</v>
      </c>
      <c r="E16" s="28" t="n">
        <v>1</v>
      </c>
      <c r="F16" s="28" t="n">
        <v>1</v>
      </c>
      <c r="G16" s="28" t="n">
        <v>1</v>
      </c>
      <c r="H16" s="28" t="n">
        <v>1</v>
      </c>
      <c r="I16" s="28" t="n">
        <v>1</v>
      </c>
      <c r="J16" s="28" t="n">
        <v>1</v>
      </c>
      <c r="K16" s="28" t="n">
        <v>1</v>
      </c>
      <c r="L16" s="28" t="n">
        <v>1</v>
      </c>
      <c r="M16" s="28" t="n">
        <v>1</v>
      </c>
      <c r="N16" s="28" t="n">
        <v>1</v>
      </c>
      <c r="O16" s="28" t="n">
        <v>1</v>
      </c>
      <c r="P16" s="28" t="n">
        <v>1</v>
      </c>
      <c r="Q16" s="36">
        <f>SUM(E16:P16)</f>
        <v/>
      </c>
      <c r="R16" s="28" t="n">
        <v>0</v>
      </c>
      <c r="S16" s="37">
        <f>R16*$C$3</f>
        <v/>
      </c>
      <c r="T16" s="37">
        <f>C16+S16</f>
        <v/>
      </c>
      <c r="U16" s="33" t="inlineStr">
        <is>
          <t>18 ene-31 dic</t>
        </is>
      </c>
    </row>
    <row r="17">
      <c r="A17" s="33" t="inlineStr">
        <is>
          <t>PUBLICIDAD DIGITAL</t>
        </is>
      </c>
      <c r="B17" s="33" t="inlineStr">
        <is>
          <t>QR en empaques/recibos + referidos</t>
        </is>
      </c>
      <c r="C17" s="34" t="n">
        <v>8000000</v>
      </c>
      <c r="D17" s="35" t="n">
        <v>5</v>
      </c>
      <c r="E17" s="28" t="n">
        <v>0</v>
      </c>
      <c r="F17" s="28" t="n">
        <v>1</v>
      </c>
      <c r="G17" s="28" t="n">
        <v>1</v>
      </c>
      <c r="H17" s="28" t="n">
        <v>1</v>
      </c>
      <c r="I17" s="28" t="n">
        <v>1</v>
      </c>
      <c r="J17" s="28" t="n">
        <v>1</v>
      </c>
      <c r="K17" s="28" t="n">
        <v>1</v>
      </c>
      <c r="L17" s="28" t="n">
        <v>1</v>
      </c>
      <c r="M17" s="28" t="n">
        <v>1</v>
      </c>
      <c r="N17" s="28" t="n">
        <v>1</v>
      </c>
      <c r="O17" s="28" t="n">
        <v>1</v>
      </c>
      <c r="P17" s="28" t="n">
        <v>1</v>
      </c>
      <c r="Q17" s="36">
        <f>SUM(E17:P17)</f>
        <v/>
      </c>
      <c r="R17" s="28" t="n">
        <v>0</v>
      </c>
      <c r="S17" s="37">
        <f>R17*$C$3</f>
        <v/>
      </c>
      <c r="T17" s="37">
        <f>C17+S17</f>
        <v/>
      </c>
      <c r="U17" s="33" t="inlineStr">
        <is>
          <t>15 feb-31 dic</t>
        </is>
      </c>
    </row>
    <row r="18">
      <c r="A18" s="33" t="inlineStr">
        <is>
          <t>DELIVERY Y FIDELIZACIÓN</t>
        </is>
      </c>
      <c r="B18" s="33" t="inlineStr">
        <is>
          <t>Almuerzos corporativos (pedidos por WhatsApp)</t>
        </is>
      </c>
      <c r="C18" s="34" t="n">
        <v>4000000</v>
      </c>
      <c r="D18" s="35" t="n">
        <v>4.2</v>
      </c>
      <c r="E18" s="28" t="n">
        <v>0</v>
      </c>
      <c r="F18" s="28" t="n">
        <v>0</v>
      </c>
      <c r="G18" s="28" t="n">
        <v>1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36">
        <f>SUM(E18:P18)</f>
        <v/>
      </c>
      <c r="R18" s="28" t="n">
        <v>0</v>
      </c>
      <c r="S18" s="37">
        <f>R18*$C$3</f>
        <v/>
      </c>
      <c r="T18" s="37">
        <f>C18+S18</f>
        <v/>
      </c>
      <c r="U18" s="33" t="inlineStr">
        <is>
          <t>15 mar-31 dic</t>
        </is>
      </c>
    </row>
    <row r="19">
      <c r="A19" s="33" t="inlineStr">
        <is>
          <t>DELIVERY Y FIDELIZACIÓN</t>
        </is>
      </c>
      <c r="B19" s="33" t="inlineStr">
        <is>
          <t>Refiere y gana (papas gratis)</t>
        </is>
      </c>
      <c r="C19" s="34" t="n">
        <v>2000000</v>
      </c>
      <c r="D19" s="35" t="n">
        <v>4.5</v>
      </c>
      <c r="E19" s="28" t="n">
        <v>0</v>
      </c>
      <c r="F19" s="28" t="n">
        <v>0</v>
      </c>
      <c r="G19" s="28" t="n">
        <v>0</v>
      </c>
      <c r="H19" s="28" t="n">
        <v>1</v>
      </c>
      <c r="I19" s="28" t="n">
        <v>1</v>
      </c>
      <c r="J19" s="28" t="n">
        <v>1</v>
      </c>
      <c r="K19" s="28" t="n">
        <v>1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36">
        <f>SUM(E19:P19)</f>
        <v/>
      </c>
      <c r="R19" s="28" t="n">
        <v>0</v>
      </c>
      <c r="S19" s="37">
        <f>R19*$C$3</f>
        <v/>
      </c>
      <c r="T19" s="37">
        <f>C19+S19</f>
        <v/>
      </c>
      <c r="U19" s="33" t="inlineStr">
        <is>
          <t>12 abr-5 jul</t>
        </is>
      </c>
    </row>
    <row r="20">
      <c r="A20" s="33" t="inlineStr">
        <is>
          <t>FECHAS ESPECIALES</t>
        </is>
      </c>
      <c r="B20" s="33" t="inlineStr">
        <is>
          <t>San Valentín (Comparte un Döner)</t>
        </is>
      </c>
      <c r="C20" s="34" t="n">
        <v>2500000</v>
      </c>
      <c r="D20" s="35" t="n">
        <v>4</v>
      </c>
      <c r="E20" s="28" t="n">
        <v>0</v>
      </c>
      <c r="F20" s="28" t="n">
        <v>1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 t="n">
        <v>0</v>
      </c>
      <c r="Q20" s="36">
        <f>SUM(E20:P20)</f>
        <v/>
      </c>
      <c r="R20" s="28" t="n">
        <v>1</v>
      </c>
      <c r="S20" s="37">
        <f>R20*$C$3</f>
        <v/>
      </c>
      <c r="T20" s="37">
        <f>C20+S20</f>
        <v/>
      </c>
      <c r="U20" s="33" t="inlineStr">
        <is>
          <t>8-15 feb</t>
        </is>
      </c>
    </row>
    <row r="21">
      <c r="A21" s="33" t="inlineStr">
        <is>
          <t>FECHAS ESPECIALES</t>
        </is>
      </c>
      <c r="B21" s="33" t="inlineStr">
        <is>
          <t>Navidad y fin de año (Party Pack)</t>
        </is>
      </c>
      <c r="C21" s="34" t="n">
        <v>3500000</v>
      </c>
      <c r="D21" s="35" t="n">
        <v>5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8" t="n">
        <v>0</v>
      </c>
      <c r="O21" s="28" t="n">
        <v>0</v>
      </c>
      <c r="P21" s="28" t="n">
        <v>1</v>
      </c>
      <c r="Q21" s="36">
        <f>SUM(E21:P21)</f>
        <v/>
      </c>
      <c r="R21" s="28" t="n">
        <v>1</v>
      </c>
      <c r="S21" s="37">
        <f>R21*$C$3</f>
        <v/>
      </c>
      <c r="T21" s="37">
        <f>C21+S21</f>
        <v/>
      </c>
      <c r="U21" s="33" t="inlineStr">
        <is>
          <t>13-27 dic</t>
        </is>
      </c>
    </row>
    <row r="22">
      <c r="A22" s="33" t="inlineStr">
        <is>
          <t>COMUNIDAD Y ALIANZAS</t>
        </is>
      </c>
      <c r="B22" s="33" t="inlineStr">
        <is>
          <t>Semana de bienvenida universitaria</t>
        </is>
      </c>
      <c r="C22" s="34" t="n">
        <v>2000000</v>
      </c>
      <c r="D22" s="35" t="n">
        <v>3</v>
      </c>
      <c r="E22" s="28" t="n">
        <v>0</v>
      </c>
      <c r="F22" s="28" t="n">
        <v>1</v>
      </c>
      <c r="G22" s="28" t="n">
        <v>0</v>
      </c>
      <c r="H22" s="28" t="n">
        <v>0</v>
      </c>
      <c r="I22" s="28" t="n">
        <v>0</v>
      </c>
      <c r="J22" s="28" t="n">
        <v>0</v>
      </c>
      <c r="K22" s="28" t="n">
        <v>0</v>
      </c>
      <c r="L22" s="28" t="n">
        <v>1</v>
      </c>
      <c r="M22" s="28" t="n">
        <v>0</v>
      </c>
      <c r="N22" s="28" t="n">
        <v>0</v>
      </c>
      <c r="O22" s="28" t="n">
        <v>0</v>
      </c>
      <c r="P22" s="28" t="n">
        <v>0</v>
      </c>
      <c r="Q22" s="36">
        <f>SUM(E22:P22)</f>
        <v/>
      </c>
      <c r="R22" s="28" t="n">
        <v>0</v>
      </c>
      <c r="S22" s="37">
        <f>R22*$C$3</f>
        <v/>
      </c>
      <c r="T22" s="37">
        <f>C22+S22</f>
        <v/>
      </c>
      <c r="U22" s="33" t="inlineStr">
        <is>
          <t>1-8 feb y 2-9 ago</t>
        </is>
      </c>
    </row>
    <row r="23">
      <c r="A23" s="13" t="inlineStr">
        <is>
          <t>TOTAL</t>
        </is>
      </c>
      <c r="B23" s="13" t="inlineStr">
        <is>
          <t>Presupuesto anual de marketing</t>
        </is>
      </c>
      <c r="C23" s="14">
        <f>SUM(C12:C22)</f>
        <v/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25">
        <f>SUM(R12:R22)</f>
        <v/>
      </c>
      <c r="S23" s="14">
        <f>SUM(S12:S22)</f>
        <v/>
      </c>
      <c r="T23" s="14">
        <f>SUM(T12:T22)</f>
        <v/>
      </c>
      <c r="U23" s="13" t="n"/>
    </row>
    <row r="25">
      <c r="A25" s="18" t="n"/>
    </row>
    <row r="26">
      <c r="A26" s="18" t="n"/>
    </row>
  </sheetData>
  <pageMargins left="0.75" right="0.75" top="1" bottom="1" header="0.511811023622047" footer="0.511811023622047"/>
  <pageSetup orientation="landscape" paperSize="8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2026-09-24T01:18:09Z</dcterms:created>
  <dcterms:modified xmlns:dcterms="http://purl.org/dc/terms/" xmlns:xsi="http://www.w3.org/2001/XMLSchema-instance" xsi:type="dcterms:W3CDTF">2026-09-28T02:58:22Z</dcterms:modified>
  <cp:lastModifiedBy>Alejandra Caica</cp:lastModifiedBy>
  <cp:revision>1</cp:revision>
</cp:coreProperties>
</file>